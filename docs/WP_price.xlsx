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ет - цены и скидки на товары"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EEFDEB"/>
      </patternFill>
    </fill>
    <fill>
      <patternFill patternType="solid">
        <fgColor rgb="FFFCFDEB"/>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8">
    <xf numFmtId="0" fontId="0" fillId="0" borderId="0" xfId="0"/>
    <xf numFmtId="0" fontId="1" fillId="0" borderId="1" xfId="0" applyFont="true" applyBorder="true" applyAlignment="true">
      <alignment horizontal="left" vertical="top" wrapText="true"/>
    </xf>
    <xf numFmtId="0" fontId="0" fillId="0" borderId="1" xfId="0" applyBorder="true" applyAlignment="true">
      <alignment horizontal="left"/>
    </xf>
    <xf numFmtId="0" fontId="1" fillId="2" borderId="1" xfId="0" applyFont="true" applyFill="true" applyBorder="true" applyAlignment="true">
      <alignment horizontal="left" vertical="top"/>
    </xf>
    <xf numFmtId="0" fontId="0" fillId="2" borderId="1" xfId="0" applyFill="true" applyBorder="true" applyAlignment="true">
      <alignment horizontal="left"/>
    </xf>
    <xf numFmtId="0" fontId="1" fillId="3" borderId="1" xfId="0" applyFont="true" applyFill="true" applyBorder="true" applyAlignment="true">
      <alignment horizontal="left" vertical="top"/>
    </xf>
    <xf numFmtId="0" fontId="0" fillId="3" borderId="1" xfId="0" applyFill="true" applyBorder="true" applyAlignment="true">
      <alignment horizontal="left"/>
    </xf>
    <xf numFmtId="0" fontId="0" fillId="0" borderId="1" xfId="0" applyBorder="true" applyAlignment="true">
      <alignment vertical="top" wrapText="true"/>
    </xf>
  </cellXfs>
  <cellStyles count="1">
    <cellStyle name="Normal" xfId="0" builtinId="0"/>
  </cellStyles>
  <dxfs count="3">
    <dxf/>
    <dxf>
      <font>
        <family val="2"/>
        <color rgb="FFCD0003"/>
      </font>
      <fill>
        <patternFill patternType="solid">
          <bgColor rgb="FFF6C5C6"/>
        </patternFill>
      </fill>
    </dxf>
    <dxf>
      <font>
        <family val="2"/>
        <color rgb="FF000000"/>
      </font>
      <fill>
        <patternFill patternType="solid">
          <bgColor rgb="FFFDEE9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4" max="14" width="68.33333333333333" customWidth="1"/>
    <col min="13" max="13" width="20" customWidth="1"/>
    <col min="12" max="12" width="18.333333333333332" customWidth="1"/>
    <col min="11" max="11" width="18.333333333333332" customWidth="1"/>
    <col min="10" max="10" width="18.333333333333332" customWidth="1"/>
    <col min="9" max="9" width="18.333333333333332" customWidth="1"/>
    <col min="8" max="8" width="18.333333333333332" customWidth="1"/>
    <col min="7" max="7" width="20" customWidth="1"/>
    <col min="6" max="6" width="15.833333333333334" customWidth="1"/>
    <col min="5" max="5" width="20" customWidth="1"/>
    <col min="4" max="4" width="20" customWidth="1"/>
    <col min="3" max="3" width="15.833333333333334" customWidth="1"/>
    <col min="2" max="2" width="15.833333333333334" customWidth="1"/>
    <col min="1" max="1" width="15.833333333333334" customWidth="1"/>
  </cols>
  <sheetData>
    <row r="1">
      <c r="A1" s="1" t="inlineStr">
        <is>
          <t>Бренд</t>
        </is>
      </c>
      <c r="B1" s="1" t="inlineStr">
        <is>
          <t>Категория</t>
        </is>
      </c>
      <c r="C1" s="1" t="inlineStr">
        <is>
          <t>Артикул WB</t>
        </is>
      </c>
      <c r="D1" s="1" t="inlineStr">
        <is>
          <t>Артикул продавца</t>
        </is>
      </c>
      <c r="E1" s="1" t="inlineStr">
        <is>
          <t>Последний баркод</t>
        </is>
      </c>
      <c r="F1" s="1" t="inlineStr">
        <is>
          <t>Остатки WB</t>
        </is>
      </c>
      <c r="G1" s="1" t="inlineStr">
        <is>
          <t>Остатки продавца</t>
        </is>
      </c>
      <c r="H1" s="1" t="inlineStr">
        <is>
          <t>Оборачиваемость</t>
        </is>
      </c>
      <c r="I1" s="1" t="inlineStr">
        <is>
          <t>Текущая цена</t>
        </is>
      </c>
      <c r="J1" s="3" t="inlineStr">
        <is>
          <t>Новая цена, RUB</t>
        </is>
      </c>
      <c r="K1" s="1" t="inlineStr">
        <is>
          <t>Текущая скидка</t>
        </is>
      </c>
      <c r="L1" s="5" t="inlineStr">
        <is>
          <t>Новая скидка</t>
        </is>
      </c>
      <c r="M1" s="1" t="inlineStr">
        <is>
          <t>Цена со скидкой</t>
        </is>
      </c>
      <c r="N1" s="1" t="inlineStr">
        <is>
          <t>Наличие ошибки</t>
        </is>
      </c>
    </row>
    <row r="2">
      <c r="A2" s="2" t="inlineStr">
        <is>
          <t/>
        </is>
      </c>
      <c r="B2" s="2" t="inlineStr">
        <is>
          <t>Дождевики</t>
        </is>
      </c>
      <c r="C2" s="2">
        <v>446079306</v>
      </c>
      <c r="D2" s="2" t="inlineStr">
        <is>
          <t>111037</t>
        </is>
      </c>
      <c r="E2" s="2" t="inlineStr">
        <is>
          <t>4620372360425</t>
        </is>
      </c>
      <c r="F2" s="2">
        <v>0</v>
      </c>
      <c r="G2" s="2">
        <v>0</v>
      </c>
      <c r="H2" s="2">
        <v>1</v>
      </c>
      <c r="I2" s="2" t="inlineStr">
        <is>
          <t>3000</t>
        </is>
      </c>
      <c r="J2" s="4"/>
      <c r="K2" s="2">
        <v>55</v>
      </c>
      <c r="L2" s="6"/>
      <c r="M2" s="2" t="str">
        <f>IF(J2="",ROUND(I2*(1-IF(ISBLANK(L2),K2,L2)/100),2),ROUND(J2*(1-IF(ISBLANK(L2),K2,L2)/100),2))</f>
      </c>
      <c r="N2" s="7" t="str">
        <f>IF(NOT(AND(J2="",L2="")),IF(OR(AND(L2&lt;&gt;"",NOT(ISNUMBER(L2))),IFERROR(MOD(L2,1),1)&gt;0,AND(ISNUMBER(L2),OR(L2&lt;0,L2&gt;95))),"Введите целое число от 0 до 95",IF(OR(AND(J2&lt;&gt;"",NOT(ISNUMBER(J2))),IFERROR(MOD(J2,1),1)&gt;0,AND(ISNUMBER(J2),OR(J2&lt;50,J2&gt;20000000))),"Введите целое число от 50 до 20000000",IF(NOT(ABS(IFERROR(VALUE(LEFT(M2,FIND("-",M2)-1)),M2)*100-(2500+2000000000)/2)&lt;=ABS(2500-2000000000)/2),"Цена со скидкой должна быть от 25 до 20000000",IF(IFERROR(VALUE(LEFT(M2,FIND("-",M2)-1)),M2)*220&lt;134999,"Вы уменьшили цену в несколько раз, товар попадет в карантин цен",IF(AND(IFERROR(VALUE(I2),0)=0,ISNUMBER(J2),OR(J2&lt;334,ABS(IFERROR(VALUE(LEFT(M2,FIND("-",M2)-1)),M2))*100&lt;33400)),"Проверьте цену товара. Большинство товаров в выбранной категории стоят дороже 334",""))))),"")</f>
      </c>
    </row>
    <row r="3">
      <c r="A3" s="2" t="inlineStr">
        <is>
          <t/>
        </is>
      </c>
      <c r="B3" s="2" t="inlineStr">
        <is>
          <t>Дождевики</t>
        </is>
      </c>
      <c r="C3" s="2">
        <v>446087073</v>
      </c>
      <c r="D3" s="2" t="inlineStr">
        <is>
          <t>111038</t>
        </is>
      </c>
      <c r="E3" s="2" t="inlineStr">
        <is>
          <t>4620372360432</t>
        </is>
      </c>
      <c r="F3" s="2">
        <v>0</v>
      </c>
      <c r="G3" s="2">
        <v>0</v>
      </c>
      <c r="H3" s="2">
        <v>1</v>
      </c>
      <c r="I3" s="2" t="inlineStr">
        <is>
          <t>3000</t>
        </is>
      </c>
      <c r="J3" s="4"/>
      <c r="K3" s="2">
        <v>55</v>
      </c>
      <c r="L3" s="6"/>
      <c r="M3" s="2" t="str">
        <f>IF(J3="",ROUND(I3*(1-IF(ISBLANK(L3),K3,L3)/100),2),ROUND(J3*(1-IF(ISBLANK(L3),K3,L3)/100),2))</f>
      </c>
      <c r="N3" s="7" t="str">
        <f>IF(NOT(AND(J3="",L3="")),IF(OR(AND(L3&lt;&gt;"",NOT(ISNUMBER(L3))),IFERROR(MOD(L3,1),1)&gt;0,AND(ISNUMBER(L3),OR(L3&lt;0,L3&gt;95))),"Введите целое число от 0 до 95",IF(OR(AND(J3&lt;&gt;"",NOT(ISNUMBER(J3))),IFERROR(MOD(J3,1),1)&gt;0,AND(ISNUMBER(J3),OR(J3&lt;50,J3&gt;20000000))),"Введите целое число от 50 до 20000000",IF(NOT(ABS(IFERROR(VALUE(LEFT(M3,FIND("-",M3)-1)),M3)*100-(2500+2000000000)/2)&lt;=ABS(2500-2000000000)/2),"Цена со скидкой должна быть от 25 до 20000000",IF(IFERROR(VALUE(LEFT(M3,FIND("-",M3)-1)),M3)*220&lt;134999,"Вы уменьшили цену в несколько раз, товар попадет в карантин цен",IF(AND(IFERROR(VALUE(I3),0)=0,ISNUMBER(J3),OR(J3&lt;334,ABS(IFERROR(VALUE(LEFT(M3,FIND("-",M3)-1)),M3))*100&lt;33400)),"Проверьте цену товара. Большинство товаров в выбранной категории стоят дороже 334",""))))),"")</f>
      </c>
    </row>
    <row r="4">
      <c r="A4" s="2" t="inlineStr">
        <is>
          <t/>
        </is>
      </c>
      <c r="B4" s="2" t="inlineStr">
        <is>
          <t>Дождевики</t>
        </is>
      </c>
      <c r="C4" s="2">
        <v>446087075</v>
      </c>
      <c r="D4" s="2" t="inlineStr">
        <is>
          <t>111039</t>
        </is>
      </c>
      <c r="E4" s="2" t="inlineStr">
        <is>
          <t>4620372360449</t>
        </is>
      </c>
      <c r="F4" s="2">
        <v>0</v>
      </c>
      <c r="G4" s="2">
        <v>0</v>
      </c>
      <c r="H4" s="2" t="inlineStr">
        <is>
          <t/>
        </is>
      </c>
      <c r="I4" s="2" t="inlineStr">
        <is>
          <t>3000</t>
        </is>
      </c>
      <c r="J4" s="4"/>
      <c r="K4" s="2">
        <v>55</v>
      </c>
      <c r="L4" s="6"/>
      <c r="M4" s="2" t="str">
        <f>IF(J4="",ROUND(I4*(1-IF(ISBLANK(L4),K4,L4)/100),2),ROUND(J4*(1-IF(ISBLANK(L4),K4,L4)/100),2))</f>
      </c>
      <c r="N4" s="7" t="str">
        <f>IF(NOT(AND(J4="",L4="")),IF(OR(AND(L4&lt;&gt;"",NOT(ISNUMBER(L4))),IFERROR(MOD(L4,1),1)&gt;0,AND(ISNUMBER(L4),OR(L4&lt;0,L4&gt;95))),"Введите целое число от 0 до 95",IF(OR(AND(J4&lt;&gt;"",NOT(ISNUMBER(J4))),IFERROR(MOD(J4,1),1)&gt;0,AND(ISNUMBER(J4),OR(J4&lt;50,J4&gt;20000000))),"Введите целое число от 50 до 20000000",IF(NOT(ABS(IFERROR(VALUE(LEFT(M4,FIND("-",M4)-1)),M4)*100-(2500+2000000000)/2)&lt;=ABS(2500-2000000000)/2),"Цена со скидкой должна быть от 25 до 20000000",IF(IFERROR(VALUE(LEFT(M4,FIND("-",M4)-1)),M4)*220&lt;134999,"Вы уменьшили цену в несколько раз, товар попадет в карантин цен",IF(AND(IFERROR(VALUE(I4),0)=0,ISNUMBER(J4),OR(J4&lt;334,ABS(IFERROR(VALUE(LEFT(M4,FIND("-",M4)-1)),M4))*100&lt;33400)),"Проверьте цену товара. Большинство товаров в выбранной категории стоят дороже 334",""))))),"")</f>
      </c>
    </row>
    <row r="5">
      <c r="A5" s="2" t="inlineStr">
        <is>
          <t>VitalEmb</t>
        </is>
      </c>
      <c r="B5" s="2" t="inlineStr">
        <is>
          <t>Декор для одежды</t>
        </is>
      </c>
      <c r="C5" s="2">
        <v>588900558</v>
      </c>
      <c r="D5" s="2" t="inlineStr">
        <is>
          <t>pzngol0003_pzol0006_pzol0006</t>
        </is>
      </c>
      <c r="E5" s="2" t="inlineStr">
        <is>
          <t>2047009025021</t>
        </is>
      </c>
      <c r="F5" s="2">
        <v>10</v>
      </c>
      <c r="G5" s="2">
        <v>0</v>
      </c>
      <c r="H5" s="2">
        <v>999</v>
      </c>
      <c r="I5" s="2" t="inlineStr">
        <is>
          <t>1100</t>
        </is>
      </c>
      <c r="J5" s="4"/>
      <c r="K5" s="2">
        <v>67</v>
      </c>
      <c r="L5" s="6"/>
      <c r="M5" s="2" t="str">
        <f>IF(J5="",ROUND(I5*(1-IF(ISBLANK(L5),K5,L5)/100),2),ROUND(J5*(1-IF(ISBLANK(L5),K5,L5)/100),2))</f>
      </c>
      <c r="N5" s="7" t="str">
        <f>IF(NOT(AND(J5="",L5="")),IF(OR(AND(L5&lt;&gt;"",NOT(ISNUMBER(L5))),IFERROR(MOD(L5,1),1)&gt;0,AND(ISNUMBER(L5),OR(L5&lt;0,L5&gt;95))),"Введите целое число от 0 до 95",IF(OR(AND(J5&lt;&gt;"",NOT(ISNUMBER(J5))),IFERROR(MOD(J5,1),1)&gt;0,AND(ISNUMBER(J5),OR(J5&lt;50,J5&gt;20000000))),"Введите целое число от 50 до 20000000",IF(NOT(ABS(IFERROR(VALUE(LEFT(M5,FIND("-",M5)-1)),M5)*100-(2500+2000000000)/2)&lt;=ABS(2500-2000000000)/2),"Цена со скидкой должна быть от 25 до 20000000",IF(IFERROR(VALUE(LEFT(M5,FIND("-",M5)-1)),M5)*229&lt;36299,"Вы уменьшили цену в несколько раз, товар попадет в карантин цен",IF(AND(IFERROR(VALUE(I5),0)=0,ISNUMBER(J5),OR(J5&lt;226,ABS(IFERROR(VALUE(LEFT(M5,FIND("-",M5)-1)),M5))*100&lt;22600)),"Проверьте цену товара. Большинство товаров в выбранной категории стоят дороже 226",""))))),"")</f>
      </c>
    </row>
    <row r="6">
      <c r="A6" s="2" t="inlineStr">
        <is>
          <t>VitalEmb</t>
        </is>
      </c>
      <c r="B6" s="2" t="inlineStr">
        <is>
          <t>Декор для одежды</t>
        </is>
      </c>
      <c r="C6" s="2">
        <v>589069492</v>
      </c>
      <c r="D6" s="2" t="inlineStr">
        <is>
          <t>nevnback0001_back0002_222621</t>
        </is>
      </c>
      <c r="E6" s="2" t="inlineStr">
        <is>
          <t>2047013043004</t>
        </is>
      </c>
      <c r="F6" s="2">
        <v>19</v>
      </c>
      <c r="G6" s="2">
        <v>0</v>
      </c>
      <c r="H6" s="2">
        <v>592</v>
      </c>
      <c r="I6" s="2" t="inlineStr">
        <is>
          <t>1500</t>
        </is>
      </c>
      <c r="J6" s="4"/>
      <c r="K6" s="2">
        <v>65</v>
      </c>
      <c r="L6" s="6"/>
      <c r="M6" s="2" t="str">
        <f>IF(J6="",ROUND(I6*(1-IF(ISBLANK(L6),K6,L6)/100),2),ROUND(J6*(1-IF(ISBLANK(L6),K6,L6)/100),2))</f>
      </c>
      <c r="N6" s="7" t="str">
        <f>IF(NOT(AND(J6="",L6="")),IF(OR(AND(L6&lt;&gt;"",NOT(ISNUMBER(L6))),IFERROR(MOD(L6,1),1)&gt;0,AND(ISNUMBER(L6),OR(L6&lt;0,L6&gt;95))),"Введите целое число от 0 до 95",IF(OR(AND(J6&lt;&gt;"",NOT(ISNUMBER(J6))),IFERROR(MOD(J6,1),1)&gt;0,AND(ISNUMBER(J6),OR(J6&lt;50,J6&gt;20000000))),"Введите целое число от 50 до 20000000",IF(NOT(ABS(IFERROR(VALUE(LEFT(M6,FIND("-",M6)-1)),M6)*100-(2500+2000000000)/2)&lt;=ABS(2500-2000000000)/2),"Цена со скидкой должна быть от 25 до 20000000",IF(IFERROR(VALUE(LEFT(M6,FIND("-",M6)-1)),M6)*229&lt;52500,"Вы уменьшили цену в несколько раз, товар попадет в карантин цен",IF(AND(IFERROR(VALUE(I6),0)=0,ISNUMBER(J6),OR(J6&lt;226,ABS(IFERROR(VALUE(LEFT(M6,FIND("-",M6)-1)),M6))*100&lt;22600)),"Проверьте цену товара. Большинство товаров в выбранной категории стоят дороже 226",""))))),"")</f>
      </c>
    </row>
    <row r="7">
      <c r="A7" s="2" t="inlineStr">
        <is>
          <t>VitalEmb</t>
        </is>
      </c>
      <c r="B7" s="2" t="inlineStr">
        <is>
          <t>Декор для одежды</t>
        </is>
      </c>
      <c r="C7" s="2">
        <v>588938059</v>
      </c>
      <c r="D7" s="2" t="inlineStr">
        <is>
          <t>pzngol0008_pzol0016_222724</t>
        </is>
      </c>
      <c r="E7" s="2" t="inlineStr">
        <is>
          <t>2047010884822</t>
        </is>
      </c>
      <c r="F7" s="2">
        <v>13</v>
      </c>
      <c r="G7" s="2">
        <v>0</v>
      </c>
      <c r="H7" s="2">
        <v>135</v>
      </c>
      <c r="I7" s="2" t="inlineStr">
        <is>
          <t>1100</t>
        </is>
      </c>
      <c r="J7" s="4"/>
      <c r="K7" s="2">
        <v>66</v>
      </c>
      <c r="L7" s="6"/>
      <c r="M7" s="2" t="str">
        <f>IF(J7="",ROUND(I7*(1-IF(ISBLANK(L7),K7,L7)/100),2),ROUND(J7*(1-IF(ISBLANK(L7),K7,L7)/100),2))</f>
      </c>
      <c r="N7" s="7" t="str">
        <f>IF(NOT(AND(J7="",L7="")),IF(OR(AND(L7&lt;&gt;"",NOT(ISNUMBER(L7))),IFERROR(MOD(L7,1),1)&gt;0,AND(ISNUMBER(L7),OR(L7&lt;0,L7&gt;95))),"Введите целое число от 0 до 95",IF(OR(AND(J7&lt;&gt;"",NOT(ISNUMBER(J7))),IFERROR(MOD(J7,1),1)&gt;0,AND(ISNUMBER(J7),OR(J7&lt;50,J7&gt;20000000))),"Введите целое число от 50 до 20000000",IF(NOT(ABS(IFERROR(VALUE(LEFT(M7,FIND("-",M7)-1)),M7)*100-(2500+2000000000)/2)&lt;=ABS(2500-2000000000)/2),"Цена со скидкой должна быть от 25 до 20000000",IF(IFERROR(VALUE(LEFT(M7,FIND("-",M7)-1)),M7)*229&lt;37399,"Вы уменьшили цену в несколько раз, товар попадет в карантин цен",IF(AND(IFERROR(VALUE(I7),0)=0,ISNUMBER(J7),OR(J7&lt;226,ABS(IFERROR(VALUE(LEFT(M7,FIND("-",M7)-1)),M7))*100&lt;22600)),"Проверьте цену товара. Большинство товаров в выбранной категории стоят дороже 226",""))))),"")</f>
      </c>
    </row>
    <row r="8">
      <c r="A8" s="2" t="inlineStr">
        <is>
          <t>VitalEmb</t>
        </is>
      </c>
      <c r="B8" s="2" t="inlineStr">
        <is>
          <t>Декор для одежды</t>
        </is>
      </c>
      <c r="C8" s="2">
        <v>655720080</v>
      </c>
      <c r="D8" s="2" t="inlineStr">
        <is>
          <t>razpict0004_222747</t>
        </is>
      </c>
      <c r="E8" s="2" t="inlineStr">
        <is>
          <t>2047518899151</t>
        </is>
      </c>
      <c r="F8" s="2">
        <v>14</v>
      </c>
      <c r="G8" s="2">
        <v>0</v>
      </c>
      <c r="H8" s="2">
        <v>85</v>
      </c>
      <c r="I8" s="2" t="inlineStr">
        <is>
          <t>1100</t>
        </is>
      </c>
      <c r="J8" s="4"/>
      <c r="K8" s="2">
        <v>53</v>
      </c>
      <c r="L8" s="6"/>
      <c r="M8" s="2" t="str">
        <f>IF(J8="",ROUND(I8*(1-IF(ISBLANK(L8),K8,L8)/100),2),ROUND(J8*(1-IF(ISBLANK(L8),K8,L8)/100),2))</f>
      </c>
      <c r="N8" s="7" t="str">
        <f>IF(NOT(AND(J8="",L8="")),IF(OR(AND(L8&lt;&gt;"",NOT(ISNUMBER(L8))),IFERROR(MOD(L8,1),1)&gt;0,AND(ISNUMBER(L8),OR(L8&lt;0,L8&gt;95))),"Введите целое число от 0 до 95",IF(OR(AND(J8&lt;&gt;"",NOT(ISNUMBER(J8))),IFERROR(MOD(J8,1),1)&gt;0,AND(ISNUMBER(J8),OR(J8&lt;50,J8&gt;20000000))),"Введите целое число от 50 до 20000000",IF(NOT(ABS(IFERROR(VALUE(LEFT(M8,FIND("-",M8)-1)),M8)*100-(2500+2000000000)/2)&lt;=ABS(2500-2000000000)/2),"Цена со скидкой должна быть от 25 до 20000000",IF(IFERROR(VALUE(LEFT(M8,FIND("-",M8)-1)),M8)*229&lt;51700,"Вы уменьшили цену в несколько раз, товар попадет в карантин цен",IF(AND(IFERROR(VALUE(I8),0)=0,ISNUMBER(J8),OR(J8&lt;226,ABS(IFERROR(VALUE(LEFT(M8,FIND("-",M8)-1)),M8))*100&lt;22600)),"Проверьте цену товара. Большинство товаров в выбранной категории стоят дороже 226",""))))),"")</f>
      </c>
    </row>
    <row r="9">
      <c r="A9" s="2" t="inlineStr">
        <is>
          <t>VitalEmb</t>
        </is>
      </c>
      <c r="B9" s="2" t="inlineStr">
        <is>
          <t>Декор для одежды</t>
        </is>
      </c>
      <c r="C9" s="2">
        <v>593274227</v>
      </c>
      <c r="D9" s="2" t="inlineStr">
        <is>
          <t>pzngmh0008_pzmh0012_222707</t>
        </is>
      </c>
      <c r="E9" s="2" t="inlineStr">
        <is>
          <t>2047048794452</t>
        </is>
      </c>
      <c r="F9" s="2">
        <v>13</v>
      </c>
      <c r="G9" s="2">
        <v>0</v>
      </c>
      <c r="H9" s="2">
        <v>96</v>
      </c>
      <c r="I9" s="2" t="inlineStr">
        <is>
          <t>1100</t>
        </is>
      </c>
      <c r="J9" s="4"/>
      <c r="K9" s="2">
        <v>65</v>
      </c>
      <c r="L9" s="6"/>
      <c r="M9" s="2" t="str">
        <f>IF(J9="",ROUND(I9*(1-IF(ISBLANK(L9),K9,L9)/100),2),ROUND(J9*(1-IF(ISBLANK(L9),K9,L9)/100),2))</f>
      </c>
      <c r="N9" s="7" t="str">
        <f>IF(NOT(AND(J9="",L9="")),IF(OR(AND(L9&lt;&gt;"",NOT(ISNUMBER(L9))),IFERROR(MOD(L9,1),1)&gt;0,AND(ISNUMBER(L9),OR(L9&lt;0,L9&gt;95))),"Введите целое число от 0 до 95",IF(OR(AND(J9&lt;&gt;"",NOT(ISNUMBER(J9))),IFERROR(MOD(J9,1),1)&gt;0,AND(ISNUMBER(J9),OR(J9&lt;50,J9&gt;20000000))),"Введите целое число от 50 до 20000000",IF(NOT(ABS(IFERROR(VALUE(LEFT(M9,FIND("-",M9)-1)),M9)*100-(2500+2000000000)/2)&lt;=ABS(2500-2000000000)/2),"Цена со скидкой должна быть от 25 до 20000000",IF(IFERROR(VALUE(LEFT(M9,FIND("-",M9)-1)),M9)*229&lt;38500,"Вы уменьшили цену в несколько раз, товар попадет в карантин цен",IF(AND(IFERROR(VALUE(I9),0)=0,ISNUMBER(J9),OR(J9&lt;226,ABS(IFERROR(VALUE(LEFT(M9,FIND("-",M9)-1)),M9))*100&lt;22600)),"Проверьте цену товара. Большинство товаров в выбранной категории стоят дороже 226",""))))),"")</f>
      </c>
    </row>
    <row r="10">
      <c r="A10" s="2" t="inlineStr">
        <is>
          <t>VitalEmb</t>
        </is>
      </c>
      <c r="B10" s="2" t="inlineStr">
        <is>
          <t>Декор для одежды</t>
        </is>
      </c>
      <c r="C10" s="2">
        <v>613460996</v>
      </c>
      <c r="D10" s="2" t="inlineStr">
        <is>
          <t>pzngmh0027_222713</t>
        </is>
      </c>
      <c r="E10" s="2" t="inlineStr">
        <is>
          <t>2047262463547</t>
        </is>
      </c>
      <c r="F10" s="2">
        <v>19</v>
      </c>
      <c r="G10" s="2">
        <v>0</v>
      </c>
      <c r="H10" s="2">
        <v>999</v>
      </c>
      <c r="I10" s="2" t="inlineStr">
        <is>
          <t>1100</t>
        </is>
      </c>
      <c r="J10" s="4"/>
      <c r="K10" s="2">
        <v>63</v>
      </c>
      <c r="L10" s="6"/>
      <c r="M10" s="2" t="str">
        <f>IF(J10="",ROUND(I10*(1-IF(ISBLANK(L10),K10,L10)/100),2),ROUND(J10*(1-IF(ISBLANK(L10),K10,L10)/100),2))</f>
      </c>
      <c r="N10" s="7" t="str">
        <f>IF(NOT(AND(J10="",L10="")),IF(OR(AND(L10&lt;&gt;"",NOT(ISNUMBER(L10))),IFERROR(MOD(L10,1),1)&gt;0,AND(ISNUMBER(L10),OR(L10&lt;0,L10&gt;95))),"Введите целое число от 0 до 95",IF(OR(AND(J10&lt;&gt;"",NOT(ISNUMBER(J10))),IFERROR(MOD(J10,1),1)&gt;0,AND(ISNUMBER(J10),OR(J10&lt;50,J10&gt;20000000))),"Введите целое число от 50 до 20000000",IF(NOT(ABS(IFERROR(VALUE(LEFT(M10,FIND("-",M10)-1)),M10)*100-(2500+2000000000)/2)&lt;=ABS(2500-2000000000)/2),"Цена со скидкой должна быть от 25 до 20000000",IF(IFERROR(VALUE(LEFT(M10,FIND("-",M10)-1)),M10)*229&lt;40700,"Вы уменьшили цену в несколько раз, товар попадет в карантин цен",IF(AND(IFERROR(VALUE(I10),0)=0,ISNUMBER(J10),OR(J10&lt;226,ABS(IFERROR(VALUE(LEFT(M10,FIND("-",M10)-1)),M10))*100&lt;22600)),"Проверьте цену товара. Большинство товаров в выбранной категории стоят дороже 226",""))))),"")</f>
      </c>
    </row>
    <row r="11">
      <c r="A11" s="2" t="inlineStr">
        <is>
          <t>VitalEmb</t>
        </is>
      </c>
      <c r="B11" s="2" t="inlineStr">
        <is>
          <t>Декор для одежды</t>
        </is>
      </c>
      <c r="C11" s="2">
        <v>588909912</v>
      </c>
      <c r="D11" s="2" t="inlineStr">
        <is>
          <t>pzngol0006_pzol0022_222422</t>
        </is>
      </c>
      <c r="E11" s="2" t="inlineStr">
        <is>
          <t>2047009598396</t>
        </is>
      </c>
      <c r="F11" s="2">
        <v>11</v>
      </c>
      <c r="G11" s="2">
        <v>0</v>
      </c>
      <c r="H11" s="2">
        <v>999</v>
      </c>
      <c r="I11" s="2" t="inlineStr">
        <is>
          <t>1100</t>
        </is>
      </c>
      <c r="J11" s="4"/>
      <c r="K11" s="2">
        <v>60</v>
      </c>
      <c r="L11" s="6"/>
      <c r="M11" s="2" t="str">
        <f>IF(J11="",ROUND(I11*(1-IF(ISBLANK(L11),K11,L11)/100),2),ROUND(J11*(1-IF(ISBLANK(L11),K11,L11)/100),2))</f>
      </c>
      <c r="N11" s="7" t="str">
        <f>IF(NOT(AND(J11="",L11="")),IF(OR(AND(L11&lt;&gt;"",NOT(ISNUMBER(L11))),IFERROR(MOD(L11,1),1)&gt;0,AND(ISNUMBER(L11),OR(L11&lt;0,L11&gt;95))),"Введите целое число от 0 до 95",IF(OR(AND(J11&lt;&gt;"",NOT(ISNUMBER(J11))),IFERROR(MOD(J11,1),1)&gt;0,AND(ISNUMBER(J11),OR(J11&lt;50,J11&gt;20000000))),"Введите целое число от 50 до 20000000",IF(NOT(ABS(IFERROR(VALUE(LEFT(M11,FIND("-",M11)-1)),M11)*100-(2500+2000000000)/2)&lt;=ABS(2500-2000000000)/2),"Цена со скидкой должна быть от 25 до 20000000",IF(IFERROR(VALUE(LEFT(M11,FIND("-",M11)-1)),M11)*229&lt;44000,"Вы уменьшили цену в несколько раз, товар попадет в карантин цен",IF(AND(IFERROR(VALUE(I11),0)=0,ISNUMBER(J11),OR(J11&lt;226,ABS(IFERROR(VALUE(LEFT(M11,FIND("-",M11)-1)),M11))*100&lt;22600)),"Проверьте цену товара. Большинство товаров в выбранной категории стоят дороже 226",""))))),"")</f>
      </c>
    </row>
    <row r="12">
      <c r="A12" s="2" t="inlineStr">
        <is>
          <t>VitalEmb</t>
        </is>
      </c>
      <c r="B12" s="2" t="inlineStr">
        <is>
          <t>Декор для одежды</t>
        </is>
      </c>
      <c r="C12" s="2">
        <v>713983916</v>
      </c>
      <c r="D12" s="2" t="inlineStr">
        <is>
          <t>bplapict0026</t>
        </is>
      </c>
      <c r="E12" s="2" t="inlineStr">
        <is>
          <t>2047960636236</t>
        </is>
      </c>
      <c r="F12" s="2">
        <v>9</v>
      </c>
      <c r="G12" s="2">
        <v>0</v>
      </c>
      <c r="H12" s="2">
        <v>157</v>
      </c>
      <c r="I12" s="2" t="inlineStr">
        <is>
          <t>1100</t>
        </is>
      </c>
      <c r="J12" s="4"/>
      <c r="K12" s="2">
        <v>61</v>
      </c>
      <c r="L12" s="6"/>
      <c r="M12" s="2" t="str">
        <f>IF(J12="",ROUND(I12*(1-IF(ISBLANK(L12),K12,L12)/100),2),ROUND(J12*(1-IF(ISBLANK(L12),K12,L12)/100),2))</f>
      </c>
      <c r="N12" s="7" t="str">
        <f>IF(NOT(AND(J12="",L12="")),IF(OR(AND(L12&lt;&gt;"",NOT(ISNUMBER(L12))),IFERROR(MOD(L12,1),1)&gt;0,AND(ISNUMBER(L12),OR(L12&lt;0,L12&gt;95))),"Введите целое число от 0 до 95",IF(OR(AND(J12&lt;&gt;"",NOT(ISNUMBER(J12))),IFERROR(MOD(J12,1),1)&gt;0,AND(ISNUMBER(J12),OR(J12&lt;50,J12&gt;20000000))),"Введите целое число от 50 до 20000000",IF(NOT(ABS(IFERROR(VALUE(LEFT(M12,FIND("-",M12)-1)),M12)*100-(2500+2000000000)/2)&lt;=ABS(2500-2000000000)/2),"Цена со скидкой должна быть от 25 до 20000000",IF(IFERROR(VALUE(LEFT(M12,FIND("-",M12)-1)),M12)*229&lt;42900,"Вы уменьшили цену в несколько раз, товар попадет в карантин цен",IF(AND(IFERROR(VALUE(I12),0)=0,ISNUMBER(J12),OR(J12&lt;226,ABS(IFERROR(VALUE(LEFT(M12,FIND("-",M12)-1)),M12))*100&lt;22600)),"Проверьте цену товара. Большинство товаров в выбранной категории стоят дороже 226",""))))),"")</f>
      </c>
    </row>
    <row r="13">
      <c r="A13" s="2" t="inlineStr">
        <is>
          <t>VitalEmb</t>
        </is>
      </c>
      <c r="B13" s="2" t="inlineStr">
        <is>
          <t>Декор для одежды</t>
        </is>
      </c>
      <c r="C13" s="2">
        <v>593390448</v>
      </c>
      <c r="D13" s="2" t="inlineStr">
        <is>
          <t>fsbng0002_form0017_222644</t>
        </is>
      </c>
      <c r="E13" s="2" t="inlineStr">
        <is>
          <t>2047050330396</t>
        </is>
      </c>
      <c r="F13" s="2">
        <v>21</v>
      </c>
      <c r="G13" s="2">
        <v>0</v>
      </c>
      <c r="H13" s="2">
        <v>999</v>
      </c>
      <c r="I13" s="2" t="inlineStr">
        <is>
          <t>1100</t>
        </is>
      </c>
      <c r="J13" s="4"/>
      <c r="K13" s="2">
        <v>56</v>
      </c>
      <c r="L13" s="6"/>
      <c r="M13" s="2" t="str">
        <f>IF(J13="",ROUND(I13*(1-IF(ISBLANK(L13),K13,L13)/100),2),ROUND(J13*(1-IF(ISBLANK(L13),K13,L13)/100),2))</f>
      </c>
      <c r="N13" s="7" t="str">
        <f>IF(NOT(AND(J13="",L13="")),IF(OR(AND(L13&lt;&gt;"",NOT(ISNUMBER(L13))),IFERROR(MOD(L13,1),1)&gt;0,AND(ISNUMBER(L13),OR(L13&lt;0,L13&gt;95))),"Введите целое число от 0 до 95",IF(OR(AND(J13&lt;&gt;"",NOT(ISNUMBER(J13))),IFERROR(MOD(J13,1),1)&gt;0,AND(ISNUMBER(J13),OR(J13&lt;50,J13&gt;20000000))),"Введите целое число от 50 до 20000000",IF(NOT(ABS(IFERROR(VALUE(LEFT(M13,FIND("-",M13)-1)),M13)*100-(2500+2000000000)/2)&lt;=ABS(2500-2000000000)/2),"Цена со скидкой должна быть от 25 до 20000000",IF(IFERROR(VALUE(LEFT(M13,FIND("-",M13)-1)),M13)*229&lt;48399,"Вы уменьшили цену в несколько раз, товар попадет в карантин цен",IF(AND(IFERROR(VALUE(I13),0)=0,ISNUMBER(J13),OR(J13&lt;226,ABS(IFERROR(VALUE(LEFT(M13,FIND("-",M13)-1)),M13))*100&lt;22600)),"Проверьте цену товара. Большинство товаров в выбранной категории стоят дороже 226",""))))),"")</f>
      </c>
    </row>
    <row r="14">
      <c r="A14" s="2" t="inlineStr">
        <is>
          <t>VitalEmb</t>
        </is>
      </c>
      <c r="B14" s="2" t="inlineStr">
        <is>
          <t>Декор для одежды</t>
        </is>
      </c>
      <c r="C14" s="2">
        <v>600440298</v>
      </c>
      <c r="D14" s="2" t="inlineStr">
        <is>
          <t>vsrfform0007_222770</t>
        </is>
      </c>
      <c r="E14" s="2" t="inlineStr">
        <is>
          <t>2047126076906</t>
        </is>
      </c>
      <c r="F14" s="2">
        <v>5</v>
      </c>
      <c r="G14" s="2">
        <v>0</v>
      </c>
      <c r="H14" s="2">
        <v>53</v>
      </c>
      <c r="I14" s="2" t="inlineStr">
        <is>
          <t>1100</t>
        </is>
      </c>
      <c r="J14" s="4"/>
      <c r="K14" s="2">
        <v>52</v>
      </c>
      <c r="L14" s="6"/>
      <c r="M14" s="2" t="str">
        <f>IF(J14="",ROUND(I14*(1-IF(ISBLANK(L14),K14,L14)/100),2),ROUND(J14*(1-IF(ISBLANK(L14),K14,L14)/100),2))</f>
      </c>
      <c r="N14" s="7" t="str">
        <f>IF(NOT(AND(J14="",L14="")),IF(OR(AND(L14&lt;&gt;"",NOT(ISNUMBER(L14))),IFERROR(MOD(L14,1),1)&gt;0,AND(ISNUMBER(L14),OR(L14&lt;0,L14&gt;95))),"Введите целое число от 0 до 95",IF(OR(AND(J14&lt;&gt;"",NOT(ISNUMBER(J14))),IFERROR(MOD(J14,1),1)&gt;0,AND(ISNUMBER(J14),OR(J14&lt;50,J14&gt;20000000))),"Введите целое число от 50 до 20000000",IF(NOT(ABS(IFERROR(VALUE(LEFT(M14,FIND("-",M14)-1)),M14)*100-(2500+2000000000)/2)&lt;=ABS(2500-2000000000)/2),"Цена со скидкой должна быть от 25 до 20000000",IF(IFERROR(VALUE(LEFT(M14,FIND("-",M14)-1)),M14)*229&lt;52800,"Вы уменьшили цену в несколько раз, товар попадет в карантин цен",IF(AND(IFERROR(VALUE(I14),0)=0,ISNUMBER(J14),OR(J14&lt;226,ABS(IFERROR(VALUE(LEFT(M14,FIND("-",M14)-1)),M14))*100&lt;22600)),"Проверьте цену товара. Большинство товаров в выбранной категории стоят дороже 226",""))))),"")</f>
      </c>
    </row>
    <row r="15">
      <c r="A15" s="2" t="inlineStr">
        <is>
          <t>VitalEmb</t>
        </is>
      </c>
      <c r="B15" s="2" t="inlineStr">
        <is>
          <t>Декор для одежды</t>
        </is>
      </c>
      <c r="C15" s="2">
        <v>600693511</v>
      </c>
      <c r="D15" s="2" t="inlineStr">
        <is>
          <t>oopict0015_pict0158</t>
        </is>
      </c>
      <c r="E15" s="2" t="inlineStr">
        <is>
          <t>2047129955086</t>
        </is>
      </c>
      <c r="F15" s="2">
        <v>10</v>
      </c>
      <c r="G15" s="2">
        <v>0</v>
      </c>
      <c r="H15" s="2">
        <v>999</v>
      </c>
      <c r="I15" s="2" t="inlineStr">
        <is>
          <t>1100</t>
        </is>
      </c>
      <c r="J15" s="4"/>
      <c r="K15" s="2">
        <v>63</v>
      </c>
      <c r="L15" s="6"/>
      <c r="M15" s="2" t="str">
        <f>IF(J15="",ROUND(I15*(1-IF(ISBLANK(L15),K15,L15)/100),2),ROUND(J15*(1-IF(ISBLANK(L15),K15,L15)/100),2))</f>
      </c>
      <c r="N15" s="7" t="str">
        <f>IF(NOT(AND(J15="",L15="")),IF(OR(AND(L15&lt;&gt;"",NOT(ISNUMBER(L15))),IFERROR(MOD(L15,1),1)&gt;0,AND(ISNUMBER(L15),OR(L15&lt;0,L15&gt;95))),"Введите целое число от 0 до 95",IF(OR(AND(J15&lt;&gt;"",NOT(ISNUMBER(J15))),IFERROR(MOD(J15,1),1)&gt;0,AND(ISNUMBER(J15),OR(J15&lt;50,J15&gt;20000000))),"Введите целое число от 50 до 20000000",IF(NOT(ABS(IFERROR(VALUE(LEFT(M15,FIND("-",M15)-1)),M15)*100-(2500+2000000000)/2)&lt;=ABS(2500-2000000000)/2),"Цена со скидкой должна быть от 25 до 20000000",IF(IFERROR(VALUE(LEFT(M15,FIND("-",M15)-1)),M15)*229&lt;40700,"Вы уменьшили цену в несколько раз, товар попадет в карантин цен",IF(AND(IFERROR(VALUE(I15),0)=0,ISNUMBER(J15),OR(J15&lt;226,ABS(IFERROR(VALUE(LEFT(M15,FIND("-",M15)-1)),M15))*100&lt;22600)),"Проверьте цену товара. Большинство товаров в выбранной категории стоят дороже 226",""))))),"")</f>
      </c>
    </row>
    <row r="16">
      <c r="A16" s="2" t="inlineStr">
        <is>
          <t>VitalEmb</t>
        </is>
      </c>
      <c r="B16" s="2" t="inlineStr">
        <is>
          <t>Декор для одежды</t>
        </is>
      </c>
      <c r="C16" s="2">
        <v>611957449</v>
      </c>
      <c r="D16" s="2" t="inlineStr">
        <is>
          <t>pzngol0010_223105</t>
        </is>
      </c>
      <c r="E16" s="2" t="inlineStr">
        <is>
          <t>2047238735470</t>
        </is>
      </c>
      <c r="F16" s="2">
        <v>11</v>
      </c>
      <c r="G16" s="2">
        <v>0</v>
      </c>
      <c r="H16" s="2">
        <v>124</v>
      </c>
      <c r="I16" s="2" t="inlineStr">
        <is>
          <t>1100</t>
        </is>
      </c>
      <c r="J16" s="4"/>
      <c r="K16" s="2">
        <v>57</v>
      </c>
      <c r="L16" s="6"/>
      <c r="M16" s="2" t="str">
        <f>IF(J16="",ROUND(I16*(1-IF(ISBLANK(L16),K16,L16)/100),2),ROUND(J16*(1-IF(ISBLANK(L16),K16,L16)/100),2))</f>
      </c>
      <c r="N16" s="7" t="str">
        <f>IF(NOT(AND(J16="",L16="")),IF(OR(AND(L16&lt;&gt;"",NOT(ISNUMBER(L16))),IFERROR(MOD(L16,1),1)&gt;0,AND(ISNUMBER(L16),OR(L16&lt;0,L16&gt;95))),"Введите целое число от 0 до 95",IF(OR(AND(J16&lt;&gt;"",NOT(ISNUMBER(J16))),IFERROR(MOD(J16,1),1)&gt;0,AND(ISNUMBER(J16),OR(J16&lt;50,J16&gt;20000000))),"Введите целое число от 50 до 20000000",IF(NOT(ABS(IFERROR(VALUE(LEFT(M16,FIND("-",M16)-1)),M16)*100-(2500+2000000000)/2)&lt;=ABS(2500-2000000000)/2),"Цена со скидкой должна быть от 25 до 20000000",IF(IFERROR(VALUE(LEFT(M16,FIND("-",M16)-1)),M16)*229&lt;47300,"Вы уменьшили цену в несколько раз, товар попадет в карантин цен",IF(AND(IFERROR(VALUE(I16),0)=0,ISNUMBER(J16),OR(J16&lt;226,ABS(IFERROR(VALUE(LEFT(M16,FIND("-",M16)-1)),M16))*100&lt;22600)),"Проверьте цену товара. Большинство товаров в выбранной категории стоят дороже 226",""))))),"")</f>
      </c>
    </row>
    <row r="17">
      <c r="A17" s="2" t="inlineStr">
        <is>
          <t>VitalEmb</t>
        </is>
      </c>
      <c r="B17" s="2" t="inlineStr">
        <is>
          <t>Декор для одежды</t>
        </is>
      </c>
      <c r="C17" s="2">
        <v>593328587</v>
      </c>
      <c r="D17" s="2" t="inlineStr">
        <is>
          <t>pzkit2mh0003_pzmh0087</t>
        </is>
      </c>
      <c r="E17" s="2" t="inlineStr">
        <is>
          <t>2047049422064</t>
        </is>
      </c>
      <c r="F17" s="2">
        <v>11</v>
      </c>
      <c r="G17" s="2">
        <v>0</v>
      </c>
      <c r="H17" s="2">
        <v>59</v>
      </c>
      <c r="I17" s="2" t="inlineStr">
        <is>
          <t>2000</t>
        </is>
      </c>
      <c r="J17" s="4"/>
      <c r="K17" s="2">
        <v>65</v>
      </c>
      <c r="L17" s="6"/>
      <c r="M17" s="2" t="str">
        <f>IF(J17="",ROUND(I17*(1-IF(ISBLANK(L17),K17,L17)/100),2),ROUND(J17*(1-IF(ISBLANK(L17),K17,L17)/100),2))</f>
      </c>
      <c r="N17" s="7" t="str">
        <f>IF(NOT(AND(J17="",L17="")),IF(OR(AND(L17&lt;&gt;"",NOT(ISNUMBER(L17))),IFERROR(MOD(L17,1),1)&gt;0,AND(ISNUMBER(L17),OR(L17&lt;0,L17&gt;95))),"Введите целое число от 0 до 95",IF(OR(AND(J17&lt;&gt;"",NOT(ISNUMBER(J17))),IFERROR(MOD(J17,1),1)&gt;0,AND(ISNUMBER(J17),OR(J17&lt;50,J17&gt;20000000))),"Введите целое число от 50 до 20000000",IF(NOT(ABS(IFERROR(VALUE(LEFT(M17,FIND("-",M17)-1)),M17)*100-(2500+2000000000)/2)&lt;=ABS(2500-2000000000)/2),"Цена со скидкой должна быть от 25 до 20000000",IF(IFERROR(VALUE(LEFT(M17,FIND("-",M17)-1)),M17)*229&lt;70000,"Вы уменьшили цену в несколько раз, товар попадет в карантин цен",IF(AND(IFERROR(VALUE(I17),0)=0,ISNUMBER(J17),OR(J17&lt;226,ABS(IFERROR(VALUE(LEFT(M17,FIND("-",M17)-1)),M17))*100&lt;22600)),"Проверьте цену товара. Большинство товаров в выбранной категории стоят дороже 226",""))))),"")</f>
      </c>
    </row>
    <row r="18">
      <c r="A18" s="2" t="inlineStr">
        <is>
          <t>VitalEmb</t>
        </is>
      </c>
      <c r="B18" s="2" t="inlineStr">
        <is>
          <t>Декор для одежды</t>
        </is>
      </c>
      <c r="C18" s="2">
        <v>611960833</v>
      </c>
      <c r="D18" s="2" t="inlineStr">
        <is>
          <t>pzngmh0009_222715</t>
        </is>
      </c>
      <c r="E18" s="2" t="inlineStr">
        <is>
          <t>2047238926489</t>
        </is>
      </c>
      <c r="F18" s="2">
        <v>9</v>
      </c>
      <c r="G18" s="2">
        <v>0</v>
      </c>
      <c r="H18" s="2">
        <v>282</v>
      </c>
      <c r="I18" s="2" t="inlineStr">
        <is>
          <t>1100</t>
        </is>
      </c>
      <c r="J18" s="4"/>
      <c r="K18" s="2">
        <v>57</v>
      </c>
      <c r="L18" s="6"/>
      <c r="M18" s="2" t="str">
        <f>IF(J18="",ROUND(I18*(1-IF(ISBLANK(L18),K18,L18)/100),2),ROUND(J18*(1-IF(ISBLANK(L18),K18,L18)/100),2))</f>
      </c>
      <c r="N18" s="7" t="str">
        <f>IF(NOT(AND(J18="",L18="")),IF(OR(AND(L18&lt;&gt;"",NOT(ISNUMBER(L18))),IFERROR(MOD(L18,1),1)&gt;0,AND(ISNUMBER(L18),OR(L18&lt;0,L18&gt;95))),"Введите целое число от 0 до 95",IF(OR(AND(J18&lt;&gt;"",NOT(ISNUMBER(J18))),IFERROR(MOD(J18,1),1)&gt;0,AND(ISNUMBER(J18),OR(J18&lt;50,J18&gt;20000000))),"Введите целое число от 50 до 20000000",IF(NOT(ABS(IFERROR(VALUE(LEFT(M18,FIND("-",M18)-1)),M18)*100-(2500+2000000000)/2)&lt;=ABS(2500-2000000000)/2),"Цена со скидкой должна быть от 25 до 20000000",IF(IFERROR(VALUE(LEFT(M18,FIND("-",M18)-1)),M18)*229&lt;47300,"Вы уменьшили цену в несколько раз, товар попадет в карантин цен",IF(AND(IFERROR(VALUE(I18),0)=0,ISNUMBER(J18),OR(J18&lt;226,ABS(IFERROR(VALUE(LEFT(M18,FIND("-",M18)-1)),M18))*100&lt;22600)),"Проверьте цену товара. Большинство товаров в выбранной категории стоят дороже 226",""))))),"")</f>
      </c>
    </row>
    <row r="19">
      <c r="A19" s="2" t="inlineStr">
        <is>
          <t>VitalEmb</t>
        </is>
      </c>
      <c r="B19" s="2" t="inlineStr">
        <is>
          <t>Декор для одежды</t>
        </is>
      </c>
      <c r="C19" s="2">
        <v>600680935</v>
      </c>
      <c r="D19" s="2" t="inlineStr">
        <is>
          <t>oopict0014_pict0159</t>
        </is>
      </c>
      <c r="E19" s="2" t="inlineStr">
        <is>
          <t>2047129803301</t>
        </is>
      </c>
      <c r="F19" s="2">
        <v>23</v>
      </c>
      <c r="G19" s="2">
        <v>0</v>
      </c>
      <c r="H19" s="2">
        <v>691</v>
      </c>
      <c r="I19" s="2" t="inlineStr">
        <is>
          <t>1100</t>
        </is>
      </c>
      <c r="J19" s="4"/>
      <c r="K19" s="2">
        <v>57</v>
      </c>
      <c r="L19" s="6"/>
      <c r="M19" s="2" t="str">
        <f>IF(J19="",ROUND(I19*(1-IF(ISBLANK(L19),K19,L19)/100),2),ROUND(J19*(1-IF(ISBLANK(L19),K19,L19)/100),2))</f>
      </c>
      <c r="N19" s="7" t="str">
        <f>IF(NOT(AND(J19="",L19="")),IF(OR(AND(L19&lt;&gt;"",NOT(ISNUMBER(L19))),IFERROR(MOD(L19,1),1)&gt;0,AND(ISNUMBER(L19),OR(L19&lt;0,L19&gt;95))),"Введите целое число от 0 до 95",IF(OR(AND(J19&lt;&gt;"",NOT(ISNUMBER(J19))),IFERROR(MOD(J19,1),1)&gt;0,AND(ISNUMBER(J19),OR(J19&lt;50,J19&gt;20000000))),"Введите целое число от 50 до 20000000",IF(NOT(ABS(IFERROR(VALUE(LEFT(M19,FIND("-",M19)-1)),M19)*100-(2500+2000000000)/2)&lt;=ABS(2500-2000000000)/2),"Цена со скидкой должна быть от 25 до 20000000",IF(IFERROR(VALUE(LEFT(M19,FIND("-",M19)-1)),M19)*229&lt;47300,"Вы уменьшили цену в несколько раз, товар попадет в карантин цен",IF(AND(IFERROR(VALUE(I19),0)=0,ISNUMBER(J19),OR(J19&lt;226,ABS(IFERROR(VALUE(LEFT(M19,FIND("-",M19)-1)),M19))*100&lt;22600)),"Проверьте цену товара. Большинство товаров в выбранной категории стоят дороже 226",""))))),"")</f>
      </c>
    </row>
    <row r="20">
      <c r="A20" s="2" t="inlineStr">
        <is>
          <t>VitalEmb</t>
        </is>
      </c>
      <c r="B20" s="2" t="inlineStr">
        <is>
          <t>Декор для одежды</t>
        </is>
      </c>
      <c r="C20" s="2">
        <v>588972315</v>
      </c>
      <c r="D20" s="2" t="inlineStr">
        <is>
          <t>oopict0009_pict0075_223214</t>
        </is>
      </c>
      <c r="E20" s="2" t="inlineStr">
        <is>
          <t>2047011679144</t>
        </is>
      </c>
      <c r="F20" s="2">
        <v>30</v>
      </c>
      <c r="G20" s="2">
        <v>0</v>
      </c>
      <c r="H20" s="2">
        <v>195</v>
      </c>
      <c r="I20" s="2" t="inlineStr">
        <is>
          <t>1100</t>
        </is>
      </c>
      <c r="J20" s="4"/>
      <c r="K20" s="2">
        <v>65</v>
      </c>
      <c r="L20" s="6"/>
      <c r="M20" s="2" t="str">
        <f>IF(J20="",ROUND(I20*(1-IF(ISBLANK(L20),K20,L20)/100),2),ROUND(J20*(1-IF(ISBLANK(L20),K20,L20)/100),2))</f>
      </c>
      <c r="N20" s="7" t="str">
        <f>IF(NOT(AND(J20="",L20="")),IF(OR(AND(L20&lt;&gt;"",NOT(ISNUMBER(L20))),IFERROR(MOD(L20,1),1)&gt;0,AND(ISNUMBER(L20),OR(L20&lt;0,L20&gt;95))),"Введите целое число от 0 до 95",IF(OR(AND(J20&lt;&gt;"",NOT(ISNUMBER(J20))),IFERROR(MOD(J20,1),1)&gt;0,AND(ISNUMBER(J20),OR(J20&lt;50,J20&gt;20000000))),"Введите целое число от 50 до 20000000",IF(NOT(ABS(IFERROR(VALUE(LEFT(M20,FIND("-",M20)-1)),M20)*100-(2500+2000000000)/2)&lt;=ABS(2500-2000000000)/2),"Цена со скидкой должна быть от 25 до 20000000",IF(IFERROR(VALUE(LEFT(M20,FIND("-",M20)-1)),M20)*229&lt;38500,"Вы уменьшили цену в несколько раз, товар попадет в карантин цен",IF(AND(IFERROR(VALUE(I20),0)=0,ISNUMBER(J20),OR(J20&lt;226,ABS(IFERROR(VALUE(LEFT(M20,FIND("-",M20)-1)),M20))*100&lt;22600)),"Проверьте цену товара. Большинство товаров в выбранной категории стоят дороже 226",""))))),"")</f>
      </c>
    </row>
    <row r="21">
      <c r="A21" s="2" t="inlineStr">
        <is>
          <t>VitalEmb</t>
        </is>
      </c>
      <c r="B21" s="2" t="inlineStr">
        <is>
          <t>Декор для одежды</t>
        </is>
      </c>
      <c r="C21" s="2">
        <v>593335416</v>
      </c>
      <c r="D21" s="2" t="inlineStr">
        <is>
          <t>pzkit2mh0006_pzmh0060</t>
        </is>
      </c>
      <c r="E21" s="2" t="inlineStr">
        <is>
          <t>2047049552822</t>
        </is>
      </c>
      <c r="F21" s="2">
        <v>12</v>
      </c>
      <c r="G21" s="2">
        <v>0</v>
      </c>
      <c r="H21" s="2">
        <v>9</v>
      </c>
      <c r="I21" s="2" t="inlineStr">
        <is>
          <t>2000</t>
        </is>
      </c>
      <c r="J21" s="4"/>
      <c r="K21" s="2">
        <v>57</v>
      </c>
      <c r="L21" s="6"/>
      <c r="M21" s="2" t="str">
        <f>IF(J21="",ROUND(I21*(1-IF(ISBLANK(L21),K21,L21)/100),2),ROUND(J21*(1-IF(ISBLANK(L21),K21,L21)/100),2))</f>
      </c>
      <c r="N21" s="7" t="str">
        <f>IF(NOT(AND(J21="",L21="")),IF(OR(AND(L21&lt;&gt;"",NOT(ISNUMBER(L21))),IFERROR(MOD(L21,1),1)&gt;0,AND(ISNUMBER(L21),OR(L21&lt;0,L21&gt;95))),"Введите целое число от 0 до 95",IF(OR(AND(J21&lt;&gt;"",NOT(ISNUMBER(J21))),IFERROR(MOD(J21,1),1)&gt;0,AND(ISNUMBER(J21),OR(J21&lt;50,J21&gt;20000000))),"Введите целое число от 50 до 20000000",IF(NOT(ABS(IFERROR(VALUE(LEFT(M21,FIND("-",M21)-1)),M21)*100-(2500+2000000000)/2)&lt;=ABS(2500-2000000000)/2),"Цена со скидкой должна быть от 25 до 20000000",IF(IFERROR(VALUE(LEFT(M21,FIND("-",M21)-1)),M21)*229&lt;86000,"Вы уменьшили цену в несколько раз, товар попадет в карантин цен",IF(AND(IFERROR(VALUE(I21),0)=0,ISNUMBER(J21),OR(J21&lt;226,ABS(IFERROR(VALUE(LEFT(M21,FIND("-",M21)-1)),M21))*100&lt;22600)),"Проверьте цену товара. Большинство товаров в выбранной категории стоят дороже 226",""))))),"")</f>
      </c>
    </row>
    <row r="22">
      <c r="A22" s="2" t="inlineStr">
        <is>
          <t>VitalEmb</t>
        </is>
      </c>
      <c r="B22" s="2" t="inlineStr">
        <is>
          <t>Декор для одежды</t>
        </is>
      </c>
      <c r="C22" s="2">
        <v>593330768</v>
      </c>
      <c r="D22" s="2" t="inlineStr">
        <is>
          <t>pzkit2mh0004_pzmh0075</t>
        </is>
      </c>
      <c r="E22" s="2" t="inlineStr">
        <is>
          <t>2047049453501</t>
        </is>
      </c>
      <c r="F22" s="2">
        <v>36</v>
      </c>
      <c r="G22" s="2">
        <v>0</v>
      </c>
      <c r="H22" s="2">
        <v>171</v>
      </c>
      <c r="I22" s="2" t="inlineStr">
        <is>
          <t>2000</t>
        </is>
      </c>
      <c r="J22" s="4"/>
      <c r="K22" s="2">
        <v>65</v>
      </c>
      <c r="L22" s="6"/>
      <c r="M22" s="2" t="str">
        <f>IF(J22="",ROUND(I22*(1-IF(ISBLANK(L22),K22,L22)/100),2),ROUND(J22*(1-IF(ISBLANK(L22),K22,L22)/100),2))</f>
      </c>
      <c r="N22" s="7" t="str">
        <f>IF(NOT(AND(J22="",L22="")),IF(OR(AND(L22&lt;&gt;"",NOT(ISNUMBER(L22))),IFERROR(MOD(L22,1),1)&gt;0,AND(ISNUMBER(L22),OR(L22&lt;0,L22&gt;95))),"Введите целое число от 0 до 95",IF(OR(AND(J22&lt;&gt;"",NOT(ISNUMBER(J22))),IFERROR(MOD(J22,1),1)&gt;0,AND(ISNUMBER(J22),OR(J22&lt;50,J22&gt;20000000))),"Введите целое число от 50 до 20000000",IF(NOT(ABS(IFERROR(VALUE(LEFT(M22,FIND("-",M22)-1)),M22)*100-(2500+2000000000)/2)&lt;=ABS(2500-2000000000)/2),"Цена со скидкой должна быть от 25 до 20000000",IF(IFERROR(VALUE(LEFT(M22,FIND("-",M22)-1)),M22)*229&lt;70000,"Вы уменьшили цену в несколько раз, товар попадет в карантин цен",IF(AND(IFERROR(VALUE(I22),0)=0,ISNUMBER(J22),OR(J22&lt;226,ABS(IFERROR(VALUE(LEFT(M22,FIND("-",M22)-1)),M22))*100&lt;22600)),"Проверьте цену товара. Большинство товаров в выбранной категории стоят дороже 226",""))))),"")</f>
      </c>
    </row>
    <row r="23">
      <c r="A23" s="2" t="inlineStr">
        <is>
          <t/>
        </is>
      </c>
      <c r="B23" s="2" t="inlineStr">
        <is>
          <t>Сумки</t>
        </is>
      </c>
      <c r="C23" s="2">
        <v>456362405</v>
      </c>
      <c r="D23" s="2" t="inlineStr">
        <is>
          <t>111051</t>
        </is>
      </c>
      <c r="E23" s="2" t="inlineStr">
        <is>
          <t>2044666340924</t>
        </is>
      </c>
      <c r="F23" s="2">
        <v>0</v>
      </c>
      <c r="G23" s="2">
        <v>0</v>
      </c>
      <c r="H23" s="2">
        <v>1</v>
      </c>
      <c r="I23" s="2" t="inlineStr">
        <is>
          <t>2000</t>
        </is>
      </c>
      <c r="J23" s="4"/>
      <c r="K23" s="2">
        <v>55</v>
      </c>
      <c r="L23" s="6"/>
      <c r="M23" s="2" t="str">
        <f>IF(J23="",ROUND(I23*(1-IF(ISBLANK(L23),K23,L23)/100),2),ROUND(J23*(1-IF(ISBLANK(L23),K23,L23)/100),2))</f>
      </c>
      <c r="N23" s="7" t="str">
        <f>IF(NOT(AND(J23="",L23="")),IF(OR(AND(L23&lt;&gt;"",NOT(ISNUMBER(L23))),IFERROR(MOD(L23,1),1)&gt;0,AND(ISNUMBER(L23),OR(L23&lt;0,L23&gt;95))),"Введите целое число от 0 до 95",IF(OR(AND(J23&lt;&gt;"",NOT(ISNUMBER(J23))),IFERROR(MOD(J23,1),1)&gt;0,AND(ISNUMBER(J23),OR(J23&lt;50,J23&gt;20000000))),"Введите целое число от 50 до 20000000",IF(NOT(ABS(IFERROR(VALUE(LEFT(M23,FIND("-",M23)-1)),M23)*100-(2500+2000000000)/2)&lt;=ABS(2500-2000000000)/2),"Цена со скидкой должна быть от 25 до 20000000",IF(IFERROR(VALUE(LEFT(M23,FIND("-",M23)-1)),M23)*229&lt;89999,"Вы уменьшили цену в несколько раз, товар попадет в карантин цен",IF(AND(IFERROR(VALUE(I23),0)=0,ISNUMBER(J23),OR(J23&lt;373,ABS(IFERROR(VALUE(LEFT(M23,FIND("-",M23)-1)),M23))*100&lt;37300)),"Проверьте цену товара. Большинство товаров в выбранной категории стоят дороже 373",""))))),"")</f>
      </c>
    </row>
    <row r="24">
      <c r="A24" s="2" t="inlineStr">
        <is>
          <t>VitalEmb</t>
        </is>
      </c>
      <c r="B24" s="2" t="inlineStr">
        <is>
          <t>Декор для одежды</t>
        </is>
      </c>
      <c r="C24" s="2">
        <v>596275257</v>
      </c>
      <c r="D24" s="2" t="inlineStr">
        <is>
          <t>vshnr0001_222962</t>
        </is>
      </c>
      <c r="E24" s="2" t="inlineStr">
        <is>
          <t>2047079699665</t>
        </is>
      </c>
      <c r="F24" s="2">
        <v>18</v>
      </c>
      <c r="G24" s="2">
        <v>0</v>
      </c>
      <c r="H24" s="2">
        <v>569</v>
      </c>
      <c r="I24" s="2" t="inlineStr">
        <is>
          <t>1100</t>
        </is>
      </c>
      <c r="J24" s="4"/>
      <c r="K24" s="2">
        <v>57</v>
      </c>
      <c r="L24" s="6"/>
      <c r="M24" s="2" t="str">
        <f>IF(J24="",ROUND(I24*(1-IF(ISBLANK(L24),K24,L24)/100),2),ROUND(J24*(1-IF(ISBLANK(L24),K24,L24)/100),2))</f>
      </c>
      <c r="N24" s="7" t="str">
        <f>IF(NOT(AND(J24="",L24="")),IF(OR(AND(L24&lt;&gt;"",NOT(ISNUMBER(L24))),IFERROR(MOD(L24,1),1)&gt;0,AND(ISNUMBER(L24),OR(L24&lt;0,L24&gt;95))),"Введите целое число от 0 до 95",IF(OR(AND(J24&lt;&gt;"",NOT(ISNUMBER(J24))),IFERROR(MOD(J24,1),1)&gt;0,AND(ISNUMBER(J24),OR(J24&lt;50,J24&gt;20000000))),"Введите целое число от 50 до 20000000",IF(NOT(ABS(IFERROR(VALUE(LEFT(M24,FIND("-",M24)-1)),M24)*100-(2500+2000000000)/2)&lt;=ABS(2500-2000000000)/2),"Цена со скидкой должна быть от 25 до 20000000",IF(IFERROR(VALUE(LEFT(M24,FIND("-",M24)-1)),M24)*229&lt;47300,"Вы уменьшили цену в несколько раз, товар попадет в карантин цен",IF(AND(IFERROR(VALUE(I24),0)=0,ISNUMBER(J24),OR(J24&lt;226,ABS(IFERROR(VALUE(LEFT(M24,FIND("-",M24)-1)),M24))*100&lt;22600)),"Проверьте цену товара. Большинство товаров в выбранной категории стоят дороже 226",""))))),"")</f>
      </c>
    </row>
    <row r="25">
      <c r="A25" s="2" t="inlineStr">
        <is>
          <t>VitalEmb</t>
        </is>
      </c>
      <c r="B25" s="2" t="inlineStr">
        <is>
          <t>Декор для одежды</t>
        </is>
      </c>
      <c r="C25" s="2">
        <v>690790447</v>
      </c>
      <c r="D25" s="2" t="inlineStr">
        <is>
          <t>nevnkit30001</t>
        </is>
      </c>
      <c r="E25" s="2" t="inlineStr">
        <is>
          <t>2047764868758</t>
        </is>
      </c>
      <c r="F25" s="2">
        <v>7</v>
      </c>
      <c r="G25" s="2">
        <v>0</v>
      </c>
      <c r="H25" s="2">
        <v>91</v>
      </c>
      <c r="I25" s="2" t="inlineStr">
        <is>
          <t>2700</t>
        </is>
      </c>
      <c r="J25" s="4"/>
      <c r="K25" s="2">
        <v>52</v>
      </c>
      <c r="L25" s="6"/>
      <c r="M25" s="2" t="str">
        <f>IF(J25="",ROUND(I25*(1-IF(ISBLANK(L25),K25,L25)/100),2),ROUND(J25*(1-IF(ISBLANK(L25),K25,L25)/100),2))</f>
      </c>
      <c r="N25" s="7" t="str">
        <f>IF(NOT(AND(J25="",L25="")),IF(OR(AND(L25&lt;&gt;"",NOT(ISNUMBER(L25))),IFERROR(MOD(L25,1),1)&gt;0,AND(ISNUMBER(L25),OR(L25&lt;0,L25&gt;95))),"Введите целое число от 0 до 95",IF(OR(AND(J25&lt;&gt;"",NOT(ISNUMBER(J25))),IFERROR(MOD(J25,1),1)&gt;0,AND(ISNUMBER(J25),OR(J25&lt;50,J25&gt;20000000))),"Введите целое число от 50 до 20000000",IF(NOT(ABS(IFERROR(VALUE(LEFT(M25,FIND("-",M25)-1)),M25)*100-(2500+2000000000)/2)&lt;=ABS(2500-2000000000)/2),"Цена со скидкой должна быть от 25 до 20000000",IF(IFERROR(VALUE(LEFT(M25,FIND("-",M25)-1)),M25)*229&lt;129600,"Вы уменьшили цену в несколько раз, товар попадет в карантин цен",IF(AND(IFERROR(VALUE(I25),0)=0,ISNUMBER(J25),OR(J25&lt;226,ABS(IFERROR(VALUE(LEFT(M25,FIND("-",M25)-1)),M25))*100&lt;22600)),"Проверьте цену товара. Большинство товаров в выбранной категории стоят дороже 226",""))))),"")</f>
      </c>
    </row>
    <row r="26">
      <c r="A26" s="2" t="inlineStr">
        <is>
          <t>VitalEmb</t>
        </is>
      </c>
      <c r="B26" s="2" t="inlineStr">
        <is>
          <t>Декор для одежды</t>
        </is>
      </c>
      <c r="C26" s="2">
        <v>613285026</v>
      </c>
      <c r="D26" s="2" t="inlineStr">
        <is>
          <t>pzngmh0022_222938</t>
        </is>
      </c>
      <c r="E26" s="2" t="inlineStr">
        <is>
          <t>2047260381591</t>
        </is>
      </c>
      <c r="F26" s="2">
        <v>10</v>
      </c>
      <c r="G26" s="2">
        <v>0</v>
      </c>
      <c r="H26" s="2">
        <v>73</v>
      </c>
      <c r="I26" s="2" t="inlineStr">
        <is>
          <t>1100</t>
        </is>
      </c>
      <c r="J26" s="4"/>
      <c r="K26" s="2">
        <v>63</v>
      </c>
      <c r="L26" s="6"/>
      <c r="M26" s="2" t="str">
        <f>IF(J26="",ROUND(I26*(1-IF(ISBLANK(L26),K26,L26)/100),2),ROUND(J26*(1-IF(ISBLANK(L26),K26,L26)/100),2))</f>
      </c>
      <c r="N26" s="7" t="str">
        <f>IF(NOT(AND(J26="",L26="")),IF(OR(AND(L26&lt;&gt;"",NOT(ISNUMBER(L26))),IFERROR(MOD(L26,1),1)&gt;0,AND(ISNUMBER(L26),OR(L26&lt;0,L26&gt;95))),"Введите целое число от 0 до 95",IF(OR(AND(J26&lt;&gt;"",NOT(ISNUMBER(J26))),IFERROR(MOD(J26,1),1)&gt;0,AND(ISNUMBER(J26),OR(J26&lt;50,J26&gt;20000000))),"Введите целое число от 50 до 20000000",IF(NOT(ABS(IFERROR(VALUE(LEFT(M26,FIND("-",M26)-1)),M26)*100-(2500+2000000000)/2)&lt;=ABS(2500-2000000000)/2),"Цена со скидкой должна быть от 25 до 20000000",IF(IFERROR(VALUE(LEFT(M26,FIND("-",M26)-1)),M26)*229&lt;40700,"Вы уменьшили цену в несколько раз, товар попадет в карантин цен",IF(AND(IFERROR(VALUE(I26),0)=0,ISNUMBER(J26),OR(J26&lt;226,ABS(IFERROR(VALUE(LEFT(M26,FIND("-",M26)-1)),M26))*100&lt;22600)),"Проверьте цену товара. Большинство товаров в выбранной категории стоят дороже 226",""))))),"")</f>
      </c>
    </row>
    <row r="27">
      <c r="A27" s="2" t="inlineStr">
        <is>
          <t>VitalEmb</t>
        </is>
      </c>
      <c r="B27" s="2" t="inlineStr">
        <is>
          <t>Декор для одежды</t>
        </is>
      </c>
      <c r="C27" s="2">
        <v>588982021</v>
      </c>
      <c r="D27" s="2" t="inlineStr">
        <is>
          <t>brignr0003_text0005_222907</t>
        </is>
      </c>
      <c r="E27" s="2" t="inlineStr">
        <is>
          <t>2047011763348</t>
        </is>
      </c>
      <c r="F27" s="2">
        <v>10</v>
      </c>
      <c r="G27" s="2">
        <v>0</v>
      </c>
      <c r="H27" s="2">
        <v>999</v>
      </c>
      <c r="I27" s="2" t="inlineStr">
        <is>
          <t>1100</t>
        </is>
      </c>
      <c r="J27" s="4"/>
      <c r="K27" s="2">
        <v>65</v>
      </c>
      <c r="L27" s="6"/>
      <c r="M27" s="2" t="str">
        <f>IF(J27="",ROUND(I27*(1-IF(ISBLANK(L27),K27,L27)/100),2),ROUND(J27*(1-IF(ISBLANK(L27),K27,L27)/100),2))</f>
      </c>
      <c r="N27" s="7" t="str">
        <f>IF(NOT(AND(J27="",L27="")),IF(OR(AND(L27&lt;&gt;"",NOT(ISNUMBER(L27))),IFERROR(MOD(L27,1),1)&gt;0,AND(ISNUMBER(L27),OR(L27&lt;0,L27&gt;95))),"Введите целое число от 0 до 95",IF(OR(AND(J27&lt;&gt;"",NOT(ISNUMBER(J27))),IFERROR(MOD(J27,1),1)&gt;0,AND(ISNUMBER(J27),OR(J27&lt;50,J27&gt;20000000))),"Введите целое число от 50 до 20000000",IF(NOT(ABS(IFERROR(VALUE(LEFT(M27,FIND("-",M27)-1)),M27)*100-(2500+2000000000)/2)&lt;=ABS(2500-2000000000)/2),"Цена со скидкой должна быть от 25 до 20000000",IF(IFERROR(VALUE(LEFT(M27,FIND("-",M27)-1)),M27)*229&lt;38500,"Вы уменьшили цену в несколько раз, товар попадет в карантин цен",IF(AND(IFERROR(VALUE(I27),0)=0,ISNUMBER(J27),OR(J27&lt;226,ABS(IFERROR(VALUE(LEFT(M27,FIND("-",M27)-1)),M27))*100&lt;22600)),"Проверьте цену товара. Большинство товаров в выбранной категории стоят дороже 226",""))))),"")</f>
      </c>
    </row>
    <row r="28">
      <c r="A28" s="2" t="inlineStr">
        <is>
          <t>VitalEmb</t>
        </is>
      </c>
      <c r="B28" s="2" t="inlineStr">
        <is>
          <t>Декор для одежды</t>
        </is>
      </c>
      <c r="C28" s="2">
        <v>655631896</v>
      </c>
      <c r="D28" s="2" t="inlineStr">
        <is>
          <t>pronr0001_222687</t>
        </is>
      </c>
      <c r="E28" s="2" t="inlineStr">
        <is>
          <t>2047518658154</t>
        </is>
      </c>
      <c r="F28" s="2">
        <v>16</v>
      </c>
      <c r="G28" s="2">
        <v>0</v>
      </c>
      <c r="H28" s="2">
        <v>999</v>
      </c>
      <c r="I28" s="2" t="inlineStr">
        <is>
          <t>1100</t>
        </is>
      </c>
      <c r="J28" s="4"/>
      <c r="K28" s="2">
        <v>52</v>
      </c>
      <c r="L28" s="6"/>
      <c r="M28" s="2" t="str">
        <f>IF(J28="",ROUND(I28*(1-IF(ISBLANK(L28),K28,L28)/100),2),ROUND(J28*(1-IF(ISBLANK(L28),K28,L28)/100),2))</f>
      </c>
      <c r="N28" s="7" t="str">
        <f>IF(NOT(AND(J28="",L28="")),IF(OR(AND(L28&lt;&gt;"",NOT(ISNUMBER(L28))),IFERROR(MOD(L28,1),1)&gt;0,AND(ISNUMBER(L28),OR(L28&lt;0,L28&gt;95))),"Введите целое число от 0 до 95",IF(OR(AND(J28&lt;&gt;"",NOT(ISNUMBER(J28))),IFERROR(MOD(J28,1),1)&gt;0,AND(ISNUMBER(J28),OR(J28&lt;50,J28&gt;20000000))),"Введите целое число от 50 до 20000000",IF(NOT(ABS(IFERROR(VALUE(LEFT(M28,FIND("-",M28)-1)),M28)*100-(2500+2000000000)/2)&lt;=ABS(2500-2000000000)/2),"Цена со скидкой должна быть от 25 до 20000000",IF(IFERROR(VALUE(LEFT(M28,FIND("-",M28)-1)),M28)*229&lt;52800,"Вы уменьшили цену в несколько раз, товар попадет в карантин цен",IF(AND(IFERROR(VALUE(I28),0)=0,ISNUMBER(J28),OR(J28&lt;226,ABS(IFERROR(VALUE(LEFT(M28,FIND("-",M28)-1)),M28))*100&lt;22600)),"Проверьте цену товара. Большинство товаров в выбранной категории стоят дороже 226",""))))),"")</f>
      </c>
    </row>
    <row r="29">
      <c r="A29" s="2" t="inlineStr">
        <is>
          <t>VitalEmb</t>
        </is>
      </c>
      <c r="B29" s="2" t="inlineStr">
        <is>
          <t>Декор для одежды</t>
        </is>
      </c>
      <c r="C29" s="2">
        <v>591268336</v>
      </c>
      <c r="D29" s="2" t="inlineStr">
        <is>
          <t>fsbng0001_form0002_222819</t>
        </is>
      </c>
      <c r="E29" s="2" t="inlineStr">
        <is>
          <t>2047031855115</t>
        </is>
      </c>
      <c r="F29" s="2">
        <v>8</v>
      </c>
      <c r="G29" s="2">
        <v>0</v>
      </c>
      <c r="H29" s="2">
        <v>72</v>
      </c>
      <c r="I29" s="2" t="inlineStr">
        <is>
          <t>1100</t>
        </is>
      </c>
      <c r="J29" s="4"/>
      <c r="K29" s="2">
        <v>60</v>
      </c>
      <c r="L29" s="6"/>
      <c r="M29" s="2" t="str">
        <f>IF(J29="",ROUND(I29*(1-IF(ISBLANK(L29),K29,L29)/100),2),ROUND(J29*(1-IF(ISBLANK(L29),K29,L29)/100),2))</f>
      </c>
      <c r="N29" s="7" t="str">
        <f>IF(NOT(AND(J29="",L29="")),IF(OR(AND(L29&lt;&gt;"",NOT(ISNUMBER(L29))),IFERROR(MOD(L29,1),1)&gt;0,AND(ISNUMBER(L29),OR(L29&lt;0,L29&gt;95))),"Введите целое число от 0 до 95",IF(OR(AND(J29&lt;&gt;"",NOT(ISNUMBER(J29))),IFERROR(MOD(J29,1),1)&gt;0,AND(ISNUMBER(J29),OR(J29&lt;50,J29&gt;20000000))),"Введите целое число от 50 до 20000000",IF(NOT(ABS(IFERROR(VALUE(LEFT(M29,FIND("-",M29)-1)),M29)*100-(2500+2000000000)/2)&lt;=ABS(2500-2000000000)/2),"Цена со скидкой должна быть от 25 до 20000000",IF(IFERROR(VALUE(LEFT(M29,FIND("-",M29)-1)),M29)*229&lt;44000,"Вы уменьшили цену в несколько раз, товар попадет в карантин цен",IF(AND(IFERROR(VALUE(I29),0)=0,ISNUMBER(J29),OR(J29&lt;226,ABS(IFERROR(VALUE(LEFT(M29,FIND("-",M29)-1)),M29))*100&lt;22600)),"Проверьте цену товара. Большинство товаров в выбранной категории стоят дороже 226",""))))),"")</f>
      </c>
    </row>
    <row r="30">
      <c r="A30" s="2" t="inlineStr">
        <is>
          <t>VitalEmb</t>
        </is>
      </c>
      <c r="B30" s="2" t="inlineStr">
        <is>
          <t>Декор для одежды</t>
        </is>
      </c>
      <c r="C30" s="2">
        <v>593307243</v>
      </c>
      <c r="D30" s="2" t="inlineStr">
        <is>
          <t>pzngol0050_pzol0023_222754</t>
        </is>
      </c>
      <c r="E30" s="2" t="inlineStr">
        <is>
          <t>2047049124470</t>
        </is>
      </c>
      <c r="F30" s="2">
        <v>4</v>
      </c>
      <c r="G30" s="2">
        <v>0</v>
      </c>
      <c r="H30" s="2">
        <v>40</v>
      </c>
      <c r="I30" s="2" t="inlineStr">
        <is>
          <t>1100</t>
        </is>
      </c>
      <c r="J30" s="4"/>
      <c r="K30" s="2">
        <v>57</v>
      </c>
      <c r="L30" s="6"/>
      <c r="M30" s="2" t="str">
        <f>IF(J30="",ROUND(I30*(1-IF(ISBLANK(L30),K30,L30)/100),2),ROUND(J30*(1-IF(ISBLANK(L30),K30,L30)/100),2))</f>
      </c>
      <c r="N30" s="7" t="str">
        <f>IF(NOT(AND(J30="",L30="")),IF(OR(AND(L30&lt;&gt;"",NOT(ISNUMBER(L30))),IFERROR(MOD(L30,1),1)&gt;0,AND(ISNUMBER(L30),OR(L30&lt;0,L30&gt;95))),"Введите целое число от 0 до 95",IF(OR(AND(J30&lt;&gt;"",NOT(ISNUMBER(J30))),IFERROR(MOD(J30,1),1)&gt;0,AND(ISNUMBER(J30),OR(J30&lt;50,J30&gt;20000000))),"Введите целое число от 50 до 20000000",IF(NOT(ABS(IFERROR(VALUE(LEFT(M30,FIND("-",M30)-1)),M30)*100-(2500+2000000000)/2)&lt;=ABS(2500-2000000000)/2),"Цена со скидкой должна быть от 25 до 20000000",IF(IFERROR(VALUE(LEFT(M30,FIND("-",M30)-1)),M30)*229&lt;47300,"Вы уменьшили цену в несколько раз, товар попадет в карантин цен",IF(AND(IFERROR(VALUE(I30),0)=0,ISNUMBER(J30),OR(J30&lt;226,ABS(IFERROR(VALUE(LEFT(M30,FIND("-",M30)-1)),M30))*100&lt;22600)),"Проверьте цену товара. Большинство товаров в выбранной категории стоят дороже 226",""))))),"")</f>
      </c>
    </row>
    <row r="31">
      <c r="A31" s="2" t="inlineStr">
        <is>
          <t>VitalEmb</t>
        </is>
      </c>
      <c r="B31" s="2" t="inlineStr">
        <is>
          <t>Декор для одежды</t>
        </is>
      </c>
      <c r="C31" s="2">
        <v>596270348</v>
      </c>
      <c r="D31" s="2" t="inlineStr">
        <is>
          <t>bplapict0014_222408</t>
        </is>
      </c>
      <c r="E31" s="2" t="inlineStr">
        <is>
          <t>2047079665707</t>
        </is>
      </c>
      <c r="F31" s="2">
        <v>16</v>
      </c>
      <c r="G31" s="2">
        <v>0</v>
      </c>
      <c r="H31" s="2">
        <v>247</v>
      </c>
      <c r="I31" s="2" t="inlineStr">
        <is>
          <t>1100</t>
        </is>
      </c>
      <c r="J31" s="4"/>
      <c r="K31" s="2">
        <v>63</v>
      </c>
      <c r="L31" s="6"/>
      <c r="M31" s="2" t="str">
        <f>IF(J31="",ROUND(I31*(1-IF(ISBLANK(L31),K31,L31)/100),2),ROUND(J31*(1-IF(ISBLANK(L31),K31,L31)/100),2))</f>
      </c>
      <c r="N31" s="7" t="str">
        <f>IF(NOT(AND(J31="",L31="")),IF(OR(AND(L31&lt;&gt;"",NOT(ISNUMBER(L31))),IFERROR(MOD(L31,1),1)&gt;0,AND(ISNUMBER(L31),OR(L31&lt;0,L31&gt;95))),"Введите целое число от 0 до 95",IF(OR(AND(J31&lt;&gt;"",NOT(ISNUMBER(J31))),IFERROR(MOD(J31,1),1)&gt;0,AND(ISNUMBER(J31),OR(J31&lt;50,J31&gt;20000000))),"Введите целое число от 50 до 20000000",IF(NOT(ABS(IFERROR(VALUE(LEFT(M31,FIND("-",M31)-1)),M31)*100-(2500+2000000000)/2)&lt;=ABS(2500-2000000000)/2),"Цена со скидкой должна быть от 25 до 20000000",IF(IFERROR(VALUE(LEFT(M31,FIND("-",M31)-1)),M31)*229&lt;40700,"Вы уменьшили цену в несколько раз, товар попадет в карантин цен",IF(AND(IFERROR(VALUE(I31),0)=0,ISNUMBER(J31),OR(J31&lt;226,ABS(IFERROR(VALUE(LEFT(M31,FIND("-",M31)-1)),M31))*100&lt;22600)),"Проверьте цену товара. Большинство товаров в выбранной категории стоят дороже 226",""))))),"")</f>
      </c>
    </row>
    <row r="32">
      <c r="A32" s="2" t="inlineStr">
        <is>
          <t>VitalEmb</t>
        </is>
      </c>
      <c r="B32" s="2" t="inlineStr">
        <is>
          <t>Декор для одежды</t>
        </is>
      </c>
      <c r="C32" s="2">
        <v>690828697</v>
      </c>
      <c r="D32" s="2" t="inlineStr">
        <is>
          <t>razpict0034</t>
        </is>
      </c>
      <c r="E32" s="2" t="inlineStr">
        <is>
          <t>2047765256554</t>
        </is>
      </c>
      <c r="F32" s="2">
        <v>16</v>
      </c>
      <c r="G32" s="2">
        <v>0</v>
      </c>
      <c r="H32" s="2">
        <v>999</v>
      </c>
      <c r="I32" s="2" t="inlineStr">
        <is>
          <t>1100</t>
        </is>
      </c>
      <c r="J32" s="4"/>
      <c r="K32" s="2">
        <v>53</v>
      </c>
      <c r="L32" s="6"/>
      <c r="M32" s="2" t="str">
        <f>IF(J32="",ROUND(I32*(1-IF(ISBLANK(L32),K32,L32)/100),2),ROUND(J32*(1-IF(ISBLANK(L32),K32,L32)/100),2))</f>
      </c>
      <c r="N32" s="7" t="str">
        <f>IF(NOT(AND(J32="",L32="")),IF(OR(AND(L32&lt;&gt;"",NOT(ISNUMBER(L32))),IFERROR(MOD(L32,1),1)&gt;0,AND(ISNUMBER(L32),OR(L32&lt;0,L32&gt;95))),"Введите целое число от 0 до 95",IF(OR(AND(J32&lt;&gt;"",NOT(ISNUMBER(J32))),IFERROR(MOD(J32,1),1)&gt;0,AND(ISNUMBER(J32),OR(J32&lt;50,J32&gt;20000000))),"Введите целое число от 50 до 20000000",IF(NOT(ABS(IFERROR(VALUE(LEFT(M32,FIND("-",M32)-1)),M32)*100-(2500+2000000000)/2)&lt;=ABS(2500-2000000000)/2),"Цена со скидкой должна быть от 25 до 20000000",IF(IFERROR(VALUE(LEFT(M32,FIND("-",M32)-1)),M32)*229&lt;51700,"Вы уменьшили цену в несколько раз, товар попадет в карантин цен",IF(AND(IFERROR(VALUE(I32),0)=0,ISNUMBER(J32),OR(J32&lt;226,ABS(IFERROR(VALUE(LEFT(M32,FIND("-",M32)-1)),M32))*100&lt;22600)),"Проверьте цену товара. Большинство товаров в выбранной категории стоят дороже 226",""))))),"")</f>
      </c>
    </row>
    <row r="33">
      <c r="A33" s="2" t="inlineStr">
        <is>
          <t>VitalEmb</t>
        </is>
      </c>
      <c r="B33" s="2" t="inlineStr">
        <is>
          <t>Декор для одежды</t>
        </is>
      </c>
      <c r="C33" s="2">
        <v>722823465</v>
      </c>
      <c r="D33" s="2" t="inlineStr">
        <is>
          <t>shtpict0020</t>
        </is>
      </c>
      <c r="E33" s="2" t="inlineStr">
        <is>
          <t>2048025270945</t>
        </is>
      </c>
      <c r="F33" s="2">
        <v>36</v>
      </c>
      <c r="G33" s="2">
        <v>0</v>
      </c>
      <c r="H33" s="2">
        <v>999</v>
      </c>
      <c r="I33" s="2" t="inlineStr">
        <is>
          <t>1100</t>
        </is>
      </c>
      <c r="J33" s="4"/>
      <c r="K33" s="2">
        <v>57</v>
      </c>
      <c r="L33" s="6"/>
      <c r="M33" s="2" t="str">
        <f>IF(J33="",ROUND(I33*(1-IF(ISBLANK(L33),K33,L33)/100),2),ROUND(J33*(1-IF(ISBLANK(L33),K33,L33)/100),2))</f>
      </c>
      <c r="N33" s="7" t="str">
        <f>IF(NOT(AND(J33="",L33="")),IF(OR(AND(L33&lt;&gt;"",NOT(ISNUMBER(L33))),IFERROR(MOD(L33,1),1)&gt;0,AND(ISNUMBER(L33),OR(L33&lt;0,L33&gt;95))),"Введите целое число от 0 до 95",IF(OR(AND(J33&lt;&gt;"",NOT(ISNUMBER(J33))),IFERROR(MOD(J33,1),1)&gt;0,AND(ISNUMBER(J33),OR(J33&lt;50,J33&gt;20000000))),"Введите целое число от 50 до 20000000",IF(NOT(ABS(IFERROR(VALUE(LEFT(M33,FIND("-",M33)-1)),M33)*100-(2500+2000000000)/2)&lt;=ABS(2500-2000000000)/2),"Цена со скидкой должна быть от 25 до 20000000",IF(IFERROR(VALUE(LEFT(M33,FIND("-",M33)-1)),M33)*229&lt;47300,"Вы уменьшили цену в несколько раз, товар попадет в карантин цен",IF(AND(IFERROR(VALUE(I33),0)=0,ISNUMBER(J33),OR(J33&lt;226,ABS(IFERROR(VALUE(LEFT(M33,FIND("-",M33)-1)),M33))*100&lt;22600)),"Проверьте цену товара. Большинство товаров в выбранной категории стоят дороже 226",""))))),"")</f>
      </c>
    </row>
    <row r="34">
      <c r="A34" s="2" t="inlineStr">
        <is>
          <t>VitalEmb</t>
        </is>
      </c>
      <c r="B34" s="2" t="inlineStr">
        <is>
          <t>Декор для одежды</t>
        </is>
      </c>
      <c r="C34" s="2">
        <v>591178235</v>
      </c>
      <c r="D34" s="2" t="inlineStr">
        <is>
          <t>vshng0005_form0018_222495</t>
        </is>
      </c>
      <c r="E34" s="2" t="inlineStr">
        <is>
          <t>2047030645083</t>
        </is>
      </c>
      <c r="F34" s="2">
        <v>15</v>
      </c>
      <c r="G34" s="2">
        <v>0</v>
      </c>
      <c r="H34" s="2">
        <v>230</v>
      </c>
      <c r="I34" s="2" t="inlineStr">
        <is>
          <t>1100</t>
        </is>
      </c>
      <c r="J34" s="4"/>
      <c r="K34" s="2">
        <v>65</v>
      </c>
      <c r="L34" s="6"/>
      <c r="M34" s="2" t="str">
        <f>IF(J34="",ROUND(I34*(1-IF(ISBLANK(L34),K34,L34)/100),2),ROUND(J34*(1-IF(ISBLANK(L34),K34,L34)/100),2))</f>
      </c>
      <c r="N34" s="7" t="str">
        <f>IF(NOT(AND(J34="",L34="")),IF(OR(AND(L34&lt;&gt;"",NOT(ISNUMBER(L34))),IFERROR(MOD(L34,1),1)&gt;0,AND(ISNUMBER(L34),OR(L34&lt;0,L34&gt;95))),"Введите целое число от 0 до 95",IF(OR(AND(J34&lt;&gt;"",NOT(ISNUMBER(J34))),IFERROR(MOD(J34,1),1)&gt;0,AND(ISNUMBER(J34),OR(J34&lt;50,J34&gt;20000000))),"Введите целое число от 50 до 20000000",IF(NOT(ABS(IFERROR(VALUE(LEFT(M34,FIND("-",M34)-1)),M34)*100-(2500+2000000000)/2)&lt;=ABS(2500-2000000000)/2),"Цена со скидкой должна быть от 25 до 20000000",IF(IFERROR(VALUE(LEFT(M34,FIND("-",M34)-1)),M34)*229&lt;38500,"Вы уменьшили цену в несколько раз, товар попадет в карантин цен",IF(AND(IFERROR(VALUE(I34),0)=0,ISNUMBER(J34),OR(J34&lt;226,ABS(IFERROR(VALUE(LEFT(M34,FIND("-",M34)-1)),M34))*100&lt;22600)),"Проверьте цену товара. Большинство товаров в выбранной категории стоят дороже 226",""))))),"")</f>
      </c>
    </row>
    <row r="35">
      <c r="A35" s="2" t="inlineStr">
        <is>
          <t>VitalEmb</t>
        </is>
      </c>
      <c r="B35" s="2" t="inlineStr">
        <is>
          <t>Декор для одежды</t>
        </is>
      </c>
      <c r="C35" s="2">
        <v>600710436</v>
      </c>
      <c r="D35" s="2" t="inlineStr">
        <is>
          <t>svopkltext0001_text0019</t>
        </is>
      </c>
      <c r="E35" s="2" t="inlineStr">
        <is>
          <t>2047130175626</t>
        </is>
      </c>
      <c r="F35" s="2">
        <v>19</v>
      </c>
      <c r="G35" s="2">
        <v>0</v>
      </c>
      <c r="H35" s="2">
        <v>999</v>
      </c>
      <c r="I35" s="2" t="inlineStr">
        <is>
          <t>1100</t>
        </is>
      </c>
      <c r="J35" s="4"/>
      <c r="K35" s="2">
        <v>56</v>
      </c>
      <c r="L35" s="6"/>
      <c r="M35" s="2" t="str">
        <f>IF(J35="",ROUND(I35*(1-IF(ISBLANK(L35),K35,L35)/100),2),ROUND(J35*(1-IF(ISBLANK(L35),K35,L35)/100),2))</f>
      </c>
      <c r="N35" s="7" t="str">
        <f>IF(NOT(AND(J35="",L35="")),IF(OR(AND(L35&lt;&gt;"",NOT(ISNUMBER(L35))),IFERROR(MOD(L35,1),1)&gt;0,AND(ISNUMBER(L35),OR(L35&lt;0,L35&gt;95))),"Введите целое число от 0 до 95",IF(OR(AND(J35&lt;&gt;"",NOT(ISNUMBER(J35))),IFERROR(MOD(J35,1),1)&gt;0,AND(ISNUMBER(J35),OR(J35&lt;50,J35&gt;20000000))),"Введите целое число от 50 до 20000000",IF(NOT(ABS(IFERROR(VALUE(LEFT(M35,FIND("-",M35)-1)),M35)*100-(2500+2000000000)/2)&lt;=ABS(2500-2000000000)/2),"Цена со скидкой должна быть от 25 до 20000000",IF(IFERROR(VALUE(LEFT(M35,FIND("-",M35)-1)),M35)*229&lt;48399,"Вы уменьшили цену в несколько раз, товар попадет в карантин цен",IF(AND(IFERROR(VALUE(I35),0)=0,ISNUMBER(J35),OR(J35&lt;226,ABS(IFERROR(VALUE(LEFT(M35,FIND("-",M35)-1)),M35))*100&lt;22600)),"Проверьте цену товара. Большинство товаров в выбранной категории стоят дороже 226",""))))),"")</f>
      </c>
    </row>
    <row r="36">
      <c r="A36" s="2" t="inlineStr">
        <is>
          <t>VitalEmb</t>
        </is>
      </c>
      <c r="B36" s="2" t="inlineStr">
        <is>
          <t>Декор для одежды</t>
        </is>
      </c>
      <c r="C36" s="2">
        <v>591174680</v>
      </c>
      <c r="D36" s="2" t="inlineStr">
        <is>
          <t>vshng0003_form0049_222890</t>
        </is>
      </c>
      <c r="E36" s="2" t="inlineStr">
        <is>
          <t>2047030540135</t>
        </is>
      </c>
      <c r="F36" s="2">
        <v>12</v>
      </c>
      <c r="G36" s="2">
        <v>0</v>
      </c>
      <c r="H36" s="2">
        <v>96</v>
      </c>
      <c r="I36" s="2" t="inlineStr">
        <is>
          <t>1100</t>
        </is>
      </c>
      <c r="J36" s="4"/>
      <c r="K36" s="2">
        <v>65</v>
      </c>
      <c r="L36" s="6"/>
      <c r="M36" s="2" t="str">
        <f>IF(J36="",ROUND(I36*(1-IF(ISBLANK(L36),K36,L36)/100),2),ROUND(J36*(1-IF(ISBLANK(L36),K36,L36)/100),2))</f>
      </c>
      <c r="N36" s="7" t="str">
        <f>IF(NOT(AND(J36="",L36="")),IF(OR(AND(L36&lt;&gt;"",NOT(ISNUMBER(L36))),IFERROR(MOD(L36,1),1)&gt;0,AND(ISNUMBER(L36),OR(L36&lt;0,L36&gt;95))),"Введите целое число от 0 до 95",IF(OR(AND(J36&lt;&gt;"",NOT(ISNUMBER(J36))),IFERROR(MOD(J36,1),1)&gt;0,AND(ISNUMBER(J36),OR(J36&lt;50,J36&gt;20000000))),"Введите целое число от 50 до 20000000",IF(NOT(ABS(IFERROR(VALUE(LEFT(M36,FIND("-",M36)-1)),M36)*100-(2500+2000000000)/2)&lt;=ABS(2500-2000000000)/2),"Цена со скидкой должна быть от 25 до 20000000",IF(IFERROR(VALUE(LEFT(M36,FIND("-",M36)-1)),M36)*229&lt;38500,"Вы уменьшили цену в несколько раз, товар попадет в карантин цен",IF(AND(IFERROR(VALUE(I36),0)=0,ISNUMBER(J36),OR(J36&lt;226,ABS(IFERROR(VALUE(LEFT(M36,FIND("-",M36)-1)),M36))*100&lt;22600)),"Проверьте цену товара. Большинство товаров в выбранной категории стоят дороже 226",""))))),"")</f>
      </c>
    </row>
    <row r="37">
      <c r="A37" s="2" t="inlineStr">
        <is>
          <t>VitalEmb</t>
        </is>
      </c>
      <c r="B37" s="2" t="inlineStr">
        <is>
          <t>Декор для одежды</t>
        </is>
      </c>
      <c r="C37" s="2">
        <v>591283397</v>
      </c>
      <c r="D37" s="2" t="inlineStr">
        <is>
          <t>shtpict0001_pict0005_222292</t>
        </is>
      </c>
      <c r="E37" s="2" t="inlineStr">
        <is>
          <t>2047032037077</t>
        </is>
      </c>
      <c r="F37" s="2">
        <v>16</v>
      </c>
      <c r="G37" s="2">
        <v>0</v>
      </c>
      <c r="H37" s="2">
        <v>6</v>
      </c>
      <c r="I37" s="2" t="inlineStr">
        <is>
          <t>1100</t>
        </is>
      </c>
      <c r="J37" s="4"/>
      <c r="K37" s="2">
        <v>58</v>
      </c>
      <c r="L37" s="6"/>
      <c r="M37" s="2" t="str">
        <f>IF(J37="",ROUND(I37*(1-IF(ISBLANK(L37),K37,L37)/100),2),ROUND(J37*(1-IF(ISBLANK(L37),K37,L37)/100),2))</f>
      </c>
      <c r="N37" s="7" t="str">
        <f>IF(NOT(AND(J37="",L37="")),IF(OR(AND(L37&lt;&gt;"",NOT(ISNUMBER(L37))),IFERROR(MOD(L37,1),1)&gt;0,AND(ISNUMBER(L37),OR(L37&lt;0,L37&gt;95))),"Введите целое число от 0 до 95",IF(OR(AND(J37&lt;&gt;"",NOT(ISNUMBER(J37))),IFERROR(MOD(J37,1),1)&gt;0,AND(ISNUMBER(J37),OR(J37&lt;50,J37&gt;20000000))),"Введите целое число от 50 до 20000000",IF(NOT(ABS(IFERROR(VALUE(LEFT(M37,FIND("-",M37)-1)),M37)*100-(2500+2000000000)/2)&lt;=ABS(2500-2000000000)/2),"Цена со скидкой должна быть от 25 до 20000000",IF(IFERROR(VALUE(LEFT(M37,FIND("-",M37)-1)),M37)*229&lt;46200,"Вы уменьшили цену в несколько раз, товар попадет в карантин цен",IF(AND(IFERROR(VALUE(I37),0)=0,ISNUMBER(J37),OR(J37&lt;226,ABS(IFERROR(VALUE(LEFT(M37,FIND("-",M37)-1)),M37))*100&lt;22600)),"Проверьте цену товара. Большинство товаров в выбранной категории стоят дороже 226",""))))),"")</f>
      </c>
    </row>
    <row r="38">
      <c r="A38" s="2" t="inlineStr">
        <is>
          <t>VitalEmb</t>
        </is>
      </c>
      <c r="B38" s="2" t="inlineStr">
        <is>
          <t>Декор для одежды</t>
        </is>
      </c>
      <c r="C38" s="2">
        <v>711935734</v>
      </c>
      <c r="D38" s="2" t="inlineStr">
        <is>
          <t>svopklpict0008</t>
        </is>
      </c>
      <c r="E38" s="2" t="inlineStr">
        <is>
          <t>2047946158301</t>
        </is>
      </c>
      <c r="F38" s="2">
        <v>13</v>
      </c>
      <c r="G38" s="2">
        <v>0</v>
      </c>
      <c r="H38" s="2">
        <v>210</v>
      </c>
      <c r="I38" s="2" t="inlineStr">
        <is>
          <t>1100</t>
        </is>
      </c>
      <c r="J38" s="4"/>
      <c r="K38" s="2">
        <v>57</v>
      </c>
      <c r="L38" s="6"/>
      <c r="M38" s="2" t="str">
        <f>IF(J38="",ROUND(I38*(1-IF(ISBLANK(L38),K38,L38)/100),2),ROUND(J38*(1-IF(ISBLANK(L38),K38,L38)/100),2))</f>
      </c>
      <c r="N38" s="7" t="str">
        <f>IF(NOT(AND(J38="",L38="")),IF(OR(AND(L38&lt;&gt;"",NOT(ISNUMBER(L38))),IFERROR(MOD(L38,1),1)&gt;0,AND(ISNUMBER(L38),OR(L38&lt;0,L38&gt;95))),"Введите целое число от 0 до 95",IF(OR(AND(J38&lt;&gt;"",NOT(ISNUMBER(J38))),IFERROR(MOD(J38,1),1)&gt;0,AND(ISNUMBER(J38),OR(J38&lt;50,J38&gt;20000000))),"Введите целое число от 50 до 20000000",IF(NOT(ABS(IFERROR(VALUE(LEFT(M38,FIND("-",M38)-1)),M38)*100-(2500+2000000000)/2)&lt;=ABS(2500-2000000000)/2),"Цена со скидкой должна быть от 25 до 20000000",IF(IFERROR(VALUE(LEFT(M38,FIND("-",M38)-1)),M38)*229&lt;47300,"Вы уменьшили цену в несколько раз, товар попадет в карантин цен",IF(AND(IFERROR(VALUE(I38),0)=0,ISNUMBER(J38),OR(J38&lt;226,ABS(IFERROR(VALUE(LEFT(M38,FIND("-",M38)-1)),M38))*100&lt;22600)),"Проверьте цену товара. Большинство товаров в выбранной категории стоят дороже 226",""))))),"")</f>
      </c>
    </row>
    <row r="39">
      <c r="A39" s="2" t="inlineStr">
        <is>
          <t>VitalEmb</t>
        </is>
      </c>
      <c r="B39" s="2" t="inlineStr">
        <is>
          <t>Декор для одежды</t>
        </is>
      </c>
      <c r="C39" s="2">
        <v>707892600</v>
      </c>
      <c r="D39" s="2" t="inlineStr">
        <is>
          <t>rosgkit20006</t>
        </is>
      </c>
      <c r="E39" s="2" t="inlineStr">
        <is>
          <t>2047903867321</t>
        </is>
      </c>
      <c r="F39" s="2">
        <v>8</v>
      </c>
      <c r="G39" s="2">
        <v>0</v>
      </c>
      <c r="H39" s="2">
        <v>999</v>
      </c>
      <c r="I39" s="2" t="inlineStr">
        <is>
          <t>2000</t>
        </is>
      </c>
      <c r="J39" s="4"/>
      <c r="K39" s="2">
        <v>52</v>
      </c>
      <c r="L39" s="6"/>
      <c r="M39" s="2" t="str">
        <f>IF(J39="",ROUND(I39*(1-IF(ISBLANK(L39),K39,L39)/100),2),ROUND(J39*(1-IF(ISBLANK(L39),K39,L39)/100),2))</f>
      </c>
      <c r="N39" s="7" t="str">
        <f>IF(NOT(AND(J39="",L39="")),IF(OR(AND(L39&lt;&gt;"",NOT(ISNUMBER(L39))),IFERROR(MOD(L39,1),1)&gt;0,AND(ISNUMBER(L39),OR(L39&lt;0,L39&gt;95))),"Введите целое число от 0 до 95",IF(OR(AND(J39&lt;&gt;"",NOT(ISNUMBER(J39))),IFERROR(MOD(J39,1),1)&gt;0,AND(ISNUMBER(J39),OR(J39&lt;50,J39&gt;20000000))),"Введите целое число от 50 до 20000000",IF(NOT(ABS(IFERROR(VALUE(LEFT(M39,FIND("-",M39)-1)),M39)*100-(2500+2000000000)/2)&lt;=ABS(2500-2000000000)/2),"Цена со скидкой должна быть от 25 до 20000000",IF(IFERROR(VALUE(LEFT(M39,FIND("-",M39)-1)),M39)*229&lt;96000,"Вы уменьшили цену в несколько раз, товар попадет в карантин цен",IF(AND(IFERROR(VALUE(I39),0)=0,ISNUMBER(J39),OR(J39&lt;226,ABS(IFERROR(VALUE(LEFT(M39,FIND("-",M39)-1)),M39))*100&lt;22600)),"Проверьте цену товара. Большинство товаров в выбранной категории стоят дороже 226",""))))),"")</f>
      </c>
    </row>
    <row r="40">
      <c r="A40" s="2" t="inlineStr">
        <is>
          <t>VitalEmb</t>
        </is>
      </c>
      <c r="B40" s="2" t="inlineStr">
        <is>
          <t>Декор для одежды</t>
        </is>
      </c>
      <c r="C40" s="2">
        <v>707833047</v>
      </c>
      <c r="D40" s="2" t="inlineStr">
        <is>
          <t>rosgkit20007</t>
        </is>
      </c>
      <c r="E40" s="2" t="inlineStr">
        <is>
          <t>2047903620070</t>
        </is>
      </c>
      <c r="F40" s="2">
        <v>6</v>
      </c>
      <c r="G40" s="2">
        <v>0</v>
      </c>
      <c r="H40" s="2">
        <v>113</v>
      </c>
      <c r="I40" s="2" t="inlineStr">
        <is>
          <t>2000</t>
        </is>
      </c>
      <c r="J40" s="4"/>
      <c r="K40" s="2">
        <v>57</v>
      </c>
      <c r="L40" s="6"/>
      <c r="M40" s="2" t="str">
        <f>IF(J40="",ROUND(I40*(1-IF(ISBLANK(L40),K40,L40)/100),2),ROUND(J40*(1-IF(ISBLANK(L40),K40,L40)/100),2))</f>
      </c>
      <c r="N40" s="7" t="str">
        <f>IF(NOT(AND(J40="",L40="")),IF(OR(AND(L40&lt;&gt;"",NOT(ISNUMBER(L40))),IFERROR(MOD(L40,1),1)&gt;0,AND(ISNUMBER(L40),OR(L40&lt;0,L40&gt;95))),"Введите целое число от 0 до 95",IF(OR(AND(J40&lt;&gt;"",NOT(ISNUMBER(J40))),IFERROR(MOD(J40,1),1)&gt;0,AND(ISNUMBER(J40),OR(J40&lt;50,J40&gt;20000000))),"Введите целое число от 50 до 20000000",IF(NOT(ABS(IFERROR(VALUE(LEFT(M40,FIND("-",M40)-1)),M40)*100-(2500+2000000000)/2)&lt;=ABS(2500-2000000000)/2),"Цена со скидкой должна быть от 25 до 20000000",IF(IFERROR(VALUE(LEFT(M40,FIND("-",M40)-1)),M40)*229&lt;86000,"Вы уменьшили цену в несколько раз, товар попадет в карантин цен",IF(AND(IFERROR(VALUE(I40),0)=0,ISNUMBER(J40),OR(J40&lt;226,ABS(IFERROR(VALUE(LEFT(M40,FIND("-",M40)-1)),M40))*100&lt;22600)),"Проверьте цену товара. Большинство товаров в выбранной категории стоят дороже 226",""))))),"")</f>
      </c>
    </row>
    <row r="41">
      <c r="A41" s="2" t="inlineStr">
        <is>
          <t>VitalEmb</t>
        </is>
      </c>
      <c r="B41" s="2" t="inlineStr">
        <is>
          <t>Декор для одежды</t>
        </is>
      </c>
      <c r="C41" s="2">
        <v>707892598</v>
      </c>
      <c r="D41" s="2" t="inlineStr">
        <is>
          <t>rosgkit20010</t>
        </is>
      </c>
      <c r="E41" s="2" t="inlineStr">
        <is>
          <t>2047903795822</t>
        </is>
      </c>
      <c r="F41" s="2">
        <v>8</v>
      </c>
      <c r="G41" s="2">
        <v>0</v>
      </c>
      <c r="H41" s="2">
        <v>999</v>
      </c>
      <c r="I41" s="2" t="inlineStr">
        <is>
          <t>2000</t>
        </is>
      </c>
      <c r="J41" s="4"/>
      <c r="K41" s="2">
        <v>57</v>
      </c>
      <c r="L41" s="6"/>
      <c r="M41" s="2" t="str">
        <f>IF(J41="",ROUND(I41*(1-IF(ISBLANK(L41),K41,L41)/100),2),ROUND(J41*(1-IF(ISBLANK(L41),K41,L41)/100),2))</f>
      </c>
      <c r="N41" s="7" t="str">
        <f>IF(NOT(AND(J41="",L41="")),IF(OR(AND(L41&lt;&gt;"",NOT(ISNUMBER(L41))),IFERROR(MOD(L41,1),1)&gt;0,AND(ISNUMBER(L41),OR(L41&lt;0,L41&gt;95))),"Введите целое число от 0 до 95",IF(OR(AND(J41&lt;&gt;"",NOT(ISNUMBER(J41))),IFERROR(MOD(J41,1),1)&gt;0,AND(ISNUMBER(J41),OR(J41&lt;50,J41&gt;20000000))),"Введите целое число от 50 до 20000000",IF(NOT(ABS(IFERROR(VALUE(LEFT(M41,FIND("-",M41)-1)),M41)*100-(2500+2000000000)/2)&lt;=ABS(2500-2000000000)/2),"Цена со скидкой должна быть от 25 до 20000000",IF(IFERROR(VALUE(LEFT(M41,FIND("-",M41)-1)),M41)*229&lt;86000,"Вы уменьшили цену в несколько раз, товар попадет в карантин цен",IF(AND(IFERROR(VALUE(I41),0)=0,ISNUMBER(J41),OR(J41&lt;226,ABS(IFERROR(VALUE(LEFT(M41,FIND("-",M41)-1)),M41))*100&lt;22600)),"Проверьте цену товара. Большинство товаров в выбранной категории стоят дороже 226",""))))),"")</f>
      </c>
    </row>
    <row r="42">
      <c r="A42" s="2" t="inlineStr">
        <is>
          <t>VitalEmb</t>
        </is>
      </c>
      <c r="B42" s="2" t="inlineStr">
        <is>
          <t>Декор для одежды</t>
        </is>
      </c>
      <c r="C42" s="2">
        <v>593252350</v>
      </c>
      <c r="D42" s="2" t="inlineStr">
        <is>
          <t>pzngmh0004_pzmh0016_222744</t>
        </is>
      </c>
      <c r="E42" s="2" t="inlineStr">
        <is>
          <t>2047048166549</t>
        </is>
      </c>
      <c r="F42" s="2">
        <v>10</v>
      </c>
      <c r="G42" s="2">
        <v>0</v>
      </c>
      <c r="H42" s="2">
        <v>99</v>
      </c>
      <c r="I42" s="2" t="inlineStr">
        <is>
          <t>1100</t>
        </is>
      </c>
      <c r="J42" s="4"/>
      <c r="K42" s="2">
        <v>65</v>
      </c>
      <c r="L42" s="6"/>
      <c r="M42" s="2" t="str">
        <f>IF(J42="",ROUND(I42*(1-IF(ISBLANK(L42),K42,L42)/100),2),ROUND(J42*(1-IF(ISBLANK(L42),K42,L42)/100),2))</f>
      </c>
      <c r="N42" s="7" t="str">
        <f>IF(NOT(AND(J42="",L42="")),IF(OR(AND(L42&lt;&gt;"",NOT(ISNUMBER(L42))),IFERROR(MOD(L42,1),1)&gt;0,AND(ISNUMBER(L42),OR(L42&lt;0,L42&gt;95))),"Введите целое число от 0 до 95",IF(OR(AND(J42&lt;&gt;"",NOT(ISNUMBER(J42))),IFERROR(MOD(J42,1),1)&gt;0,AND(ISNUMBER(J42),OR(J42&lt;50,J42&gt;20000000))),"Введите целое число от 50 до 20000000",IF(NOT(ABS(IFERROR(VALUE(LEFT(M42,FIND("-",M42)-1)),M42)*100-(2500+2000000000)/2)&lt;=ABS(2500-2000000000)/2),"Цена со скидкой должна быть от 25 до 20000000",IF(IFERROR(VALUE(LEFT(M42,FIND("-",M42)-1)),M42)*229&lt;38500,"Вы уменьшили цену в несколько раз, товар попадет в карантин цен",IF(AND(IFERROR(VALUE(I42),0)=0,ISNUMBER(J42),OR(J42&lt;226,ABS(IFERROR(VALUE(LEFT(M42,FIND("-",M42)-1)),M42))*100&lt;22600)),"Проверьте цену товара. Большинство товаров в выбранной категории стоят дороже 226",""))))),"")</f>
      </c>
    </row>
    <row r="43">
      <c r="A43" s="2" t="inlineStr">
        <is>
          <t>VitalEmb</t>
        </is>
      </c>
      <c r="B43" s="2" t="inlineStr">
        <is>
          <t>Декор для одежды</t>
        </is>
      </c>
      <c r="C43" s="2">
        <v>613280928</v>
      </c>
      <c r="D43" s="2" t="inlineStr">
        <is>
          <t>pzngmh0021_222752</t>
        </is>
      </c>
      <c r="E43" s="2" t="inlineStr">
        <is>
          <t>2047260317583</t>
        </is>
      </c>
      <c r="F43" s="2">
        <v>20</v>
      </c>
      <c r="G43" s="2">
        <v>0</v>
      </c>
      <c r="H43" s="2">
        <v>613</v>
      </c>
      <c r="I43" s="2" t="inlineStr">
        <is>
          <t>1100</t>
        </is>
      </c>
      <c r="J43" s="4"/>
      <c r="K43" s="2">
        <v>63</v>
      </c>
      <c r="L43" s="6"/>
      <c r="M43" s="2" t="str">
        <f>IF(J43="",ROUND(I43*(1-IF(ISBLANK(L43),K43,L43)/100),2),ROUND(J43*(1-IF(ISBLANK(L43),K43,L43)/100),2))</f>
      </c>
      <c r="N43" s="7" t="str">
        <f>IF(NOT(AND(J43="",L43="")),IF(OR(AND(L43&lt;&gt;"",NOT(ISNUMBER(L43))),IFERROR(MOD(L43,1),1)&gt;0,AND(ISNUMBER(L43),OR(L43&lt;0,L43&gt;95))),"Введите целое число от 0 до 95",IF(OR(AND(J43&lt;&gt;"",NOT(ISNUMBER(J43))),IFERROR(MOD(J43,1),1)&gt;0,AND(ISNUMBER(J43),OR(J43&lt;50,J43&gt;20000000))),"Введите целое число от 50 до 20000000",IF(NOT(ABS(IFERROR(VALUE(LEFT(M43,FIND("-",M43)-1)),M43)*100-(2500+2000000000)/2)&lt;=ABS(2500-2000000000)/2),"Цена со скидкой должна быть от 25 до 20000000",IF(IFERROR(VALUE(LEFT(M43,FIND("-",M43)-1)),M43)*229&lt;40700,"Вы уменьшили цену в несколько раз, товар попадет в карантин цен",IF(AND(IFERROR(VALUE(I43),0)=0,ISNUMBER(J43),OR(J43&lt;226,ABS(IFERROR(VALUE(LEFT(M43,FIND("-",M43)-1)),M43))*100&lt;22600)),"Проверьте цену товара. Большинство товаров в выбранной категории стоят дороже 226",""))))),"")</f>
      </c>
    </row>
    <row r="44">
      <c r="A44" s="2" t="inlineStr">
        <is>
          <t>VitalEmb</t>
        </is>
      </c>
      <c r="B44" s="2" t="inlineStr">
        <is>
          <t>Декор для одежды</t>
        </is>
      </c>
      <c r="C44" s="2">
        <v>613457462</v>
      </c>
      <c r="D44" s="2" t="inlineStr">
        <is>
          <t>pzngmh0026_222949</t>
        </is>
      </c>
      <c r="E44" s="2" t="inlineStr">
        <is>
          <t>2047262388291</t>
        </is>
      </c>
      <c r="F44" s="2">
        <v>15</v>
      </c>
      <c r="G44" s="2">
        <v>0</v>
      </c>
      <c r="H44" s="2">
        <v>456</v>
      </c>
      <c r="I44" s="2" t="inlineStr">
        <is>
          <t>1100</t>
        </is>
      </c>
      <c r="J44" s="4"/>
      <c r="K44" s="2">
        <v>64</v>
      </c>
      <c r="L44" s="6"/>
      <c r="M44" s="2" t="str">
        <f>IF(J44="",ROUND(I44*(1-IF(ISBLANK(L44),K44,L44)/100),2),ROUND(J44*(1-IF(ISBLANK(L44),K44,L44)/100),2))</f>
      </c>
      <c r="N44" s="7" t="str">
        <f>IF(NOT(AND(J44="",L44="")),IF(OR(AND(L44&lt;&gt;"",NOT(ISNUMBER(L44))),IFERROR(MOD(L44,1),1)&gt;0,AND(ISNUMBER(L44),OR(L44&lt;0,L44&gt;95))),"Введите целое число от 0 до 95",IF(OR(AND(J44&lt;&gt;"",NOT(ISNUMBER(J44))),IFERROR(MOD(J44,1),1)&gt;0,AND(ISNUMBER(J44),OR(J44&lt;50,J44&gt;20000000))),"Введите целое число от 50 до 20000000",IF(NOT(ABS(IFERROR(VALUE(LEFT(M44,FIND("-",M44)-1)),M44)*100-(2500+2000000000)/2)&lt;=ABS(2500-2000000000)/2),"Цена со скидкой должна быть от 25 до 20000000",IF(IFERROR(VALUE(LEFT(M44,FIND("-",M44)-1)),M44)*229&lt;39600,"Вы уменьшили цену в несколько раз, товар попадет в карантин цен",IF(AND(IFERROR(VALUE(I44),0)=0,ISNUMBER(J44),OR(J44&lt;226,ABS(IFERROR(VALUE(LEFT(M44,FIND("-",M44)-1)),M44))*100&lt;22600)),"Проверьте цену товара. Большинство товаров в выбранной категории стоят дороже 226",""))))),"")</f>
      </c>
    </row>
    <row r="45">
      <c r="A45" s="2" t="inlineStr">
        <is>
          <t>VitalEmb</t>
        </is>
      </c>
      <c r="B45" s="2" t="inlineStr">
        <is>
          <t>Декор для одежды</t>
        </is>
      </c>
      <c r="C45" s="2">
        <v>758079043</v>
      </c>
      <c r="D45" s="2" t="inlineStr">
        <is>
          <t>fanpict0055</t>
        </is>
      </c>
      <c r="E45" s="2" t="inlineStr">
        <is>
          <t>2048348466933</t>
        </is>
      </c>
      <c r="F45" s="2">
        <v>19</v>
      </c>
      <c r="G45" s="2">
        <v>0</v>
      </c>
      <c r="H45" s="2">
        <v>999</v>
      </c>
      <c r="I45" s="2" t="inlineStr">
        <is>
          <t>1100</t>
        </is>
      </c>
      <c r="J45" s="4"/>
      <c r="K45" s="2">
        <v>53</v>
      </c>
      <c r="L45" s="6"/>
      <c r="M45" s="2" t="str">
        <f>IF(J45="",ROUND(I45*(1-IF(ISBLANK(L45),K45,L45)/100),2),ROUND(J45*(1-IF(ISBLANK(L45),K45,L45)/100),2))</f>
      </c>
      <c r="N45" s="7" t="str">
        <f>IF(NOT(AND(J45="",L45="")),IF(OR(AND(L45&lt;&gt;"",NOT(ISNUMBER(L45))),IFERROR(MOD(L45,1),1)&gt;0,AND(ISNUMBER(L45),OR(L45&lt;0,L45&gt;95))),"Введите целое число от 0 до 95",IF(OR(AND(J45&lt;&gt;"",NOT(ISNUMBER(J45))),IFERROR(MOD(J45,1),1)&gt;0,AND(ISNUMBER(J45),OR(J45&lt;50,J45&gt;20000000))),"Введите целое число от 50 до 20000000",IF(NOT(ABS(IFERROR(VALUE(LEFT(M45,FIND("-",M45)-1)),M45)*100-(2500+2000000000)/2)&lt;=ABS(2500-2000000000)/2),"Цена со скидкой должна быть от 25 до 20000000",IF(IFERROR(VALUE(LEFT(M45,FIND("-",M45)-1)),M45)*229&lt;51700,"Вы уменьшили цену в несколько раз, товар попадет в карантин цен",IF(AND(IFERROR(VALUE(I45),0)=0,ISNUMBER(J45),OR(J45&lt;226,ABS(IFERROR(VALUE(LEFT(M45,FIND("-",M45)-1)),M45))*100&lt;22600)),"Проверьте цену товара. Большинство товаров в выбранной категории стоят дороже 226",""))))),"")</f>
      </c>
    </row>
    <row r="46">
      <c r="A46" s="2" t="inlineStr">
        <is>
          <t>VitalEmb</t>
        </is>
      </c>
      <c r="B46" s="2" t="inlineStr">
        <is>
          <t>Декор для одежды</t>
        </is>
      </c>
      <c r="C46" s="2">
        <v>709493927</v>
      </c>
      <c r="D46" s="2" t="inlineStr">
        <is>
          <t>razpict0038</t>
        </is>
      </c>
      <c r="E46" s="2" t="inlineStr">
        <is>
          <t>2047919872159</t>
        </is>
      </c>
      <c r="F46" s="2">
        <v>15</v>
      </c>
      <c r="G46" s="2">
        <v>0</v>
      </c>
      <c r="H46" s="2">
        <v>999</v>
      </c>
      <c r="I46" s="2" t="inlineStr">
        <is>
          <t>1100</t>
        </is>
      </c>
      <c r="J46" s="4"/>
      <c r="K46" s="2">
        <v>57</v>
      </c>
      <c r="L46" s="6"/>
      <c r="M46" s="2" t="str">
        <f>IF(J46="",ROUND(I46*(1-IF(ISBLANK(L46),K46,L46)/100),2),ROUND(J46*(1-IF(ISBLANK(L46),K46,L46)/100),2))</f>
      </c>
      <c r="N46" s="7" t="str">
        <f>IF(NOT(AND(J46="",L46="")),IF(OR(AND(L46&lt;&gt;"",NOT(ISNUMBER(L46))),IFERROR(MOD(L46,1),1)&gt;0,AND(ISNUMBER(L46),OR(L46&lt;0,L46&gt;95))),"Введите целое число от 0 до 95",IF(OR(AND(J46&lt;&gt;"",NOT(ISNUMBER(J46))),IFERROR(MOD(J46,1),1)&gt;0,AND(ISNUMBER(J46),OR(J46&lt;50,J46&gt;20000000))),"Введите целое число от 50 до 20000000",IF(NOT(ABS(IFERROR(VALUE(LEFT(M46,FIND("-",M46)-1)),M46)*100-(2500+2000000000)/2)&lt;=ABS(2500-2000000000)/2),"Цена со скидкой должна быть от 25 до 20000000",IF(IFERROR(VALUE(LEFT(M46,FIND("-",M46)-1)),M46)*229&lt;47300,"Вы уменьшили цену в несколько раз, товар попадет в карантин цен",IF(AND(IFERROR(VALUE(I46),0)=0,ISNUMBER(J46),OR(J46&lt;226,ABS(IFERROR(VALUE(LEFT(M46,FIND("-",M46)-1)),M46))*100&lt;22600)),"Проверьте цену товара. Большинство товаров в выбранной категории стоят дороже 226",""))))),"")</f>
      </c>
    </row>
    <row r="47">
      <c r="A47" s="2" t="inlineStr">
        <is>
          <t>VitalEmb</t>
        </is>
      </c>
      <c r="B47" s="2" t="inlineStr">
        <is>
          <t>Декор для одежды</t>
        </is>
      </c>
      <c r="C47" s="2">
        <v>707892603</v>
      </c>
      <c r="D47" s="2" t="inlineStr">
        <is>
          <t>rosgkit20013</t>
        </is>
      </c>
      <c r="E47" s="2" t="inlineStr">
        <is>
          <t>2047903923614</t>
        </is>
      </c>
      <c r="F47" s="2">
        <v>10</v>
      </c>
      <c r="G47" s="2">
        <v>0</v>
      </c>
      <c r="H47" s="2">
        <v>1</v>
      </c>
      <c r="I47" s="2" t="inlineStr">
        <is>
          <t>2000</t>
        </is>
      </c>
      <c r="J47" s="4"/>
      <c r="K47" s="2">
        <v>55</v>
      </c>
      <c r="L47" s="6"/>
      <c r="M47" s="2" t="str">
        <f>IF(J47="",ROUND(I47*(1-IF(ISBLANK(L47),K47,L47)/100),2),ROUND(J47*(1-IF(ISBLANK(L47),K47,L47)/100),2))</f>
      </c>
      <c r="N47" s="7" t="str">
        <f>IF(NOT(AND(J47="",L47="")),IF(OR(AND(L47&lt;&gt;"",NOT(ISNUMBER(L47))),IFERROR(MOD(L47,1),1)&gt;0,AND(ISNUMBER(L47),OR(L47&lt;0,L47&gt;95))),"Введите целое число от 0 до 95",IF(OR(AND(J47&lt;&gt;"",NOT(ISNUMBER(J47))),IFERROR(MOD(J47,1),1)&gt;0,AND(ISNUMBER(J47),OR(J47&lt;50,J47&gt;20000000))),"Введите целое число от 50 до 20000000",IF(NOT(ABS(IFERROR(VALUE(LEFT(M47,FIND("-",M47)-1)),M47)*100-(2500+2000000000)/2)&lt;=ABS(2500-2000000000)/2),"Цена со скидкой должна быть от 25 до 20000000",IF(IFERROR(VALUE(LEFT(M47,FIND("-",M47)-1)),M47)*229&lt;89999,"Вы уменьшили цену в несколько раз, товар попадет в карантин цен",IF(AND(IFERROR(VALUE(I47),0)=0,ISNUMBER(J47),OR(J47&lt;226,ABS(IFERROR(VALUE(LEFT(M47,FIND("-",M47)-1)),M47))*100&lt;22600)),"Проверьте цену товара. Большинство товаров в выбранной категории стоят дороже 226",""))))),"")</f>
      </c>
    </row>
    <row r="48">
      <c r="A48" s="2" t="inlineStr">
        <is>
          <t>VitalEmb</t>
        </is>
      </c>
      <c r="B48" s="2" t="inlineStr">
        <is>
          <t>Декор для одежды</t>
        </is>
      </c>
      <c r="C48" s="2">
        <v>593445509</v>
      </c>
      <c r="D48" s="2" t="inlineStr">
        <is>
          <t>vpnr0002_form0008_222541</t>
        </is>
      </c>
      <c r="E48" s="2" t="inlineStr">
        <is>
          <t>2047051124574</t>
        </is>
      </c>
      <c r="F48" s="2">
        <v>9</v>
      </c>
      <c r="G48" s="2">
        <v>0</v>
      </c>
      <c r="H48" s="2" t="inlineStr">
        <is>
          <t/>
        </is>
      </c>
      <c r="I48" s="2" t="inlineStr">
        <is>
          <t>1100</t>
        </is>
      </c>
      <c r="J48" s="4"/>
      <c r="K48" s="2">
        <v>55</v>
      </c>
      <c r="L48" s="6"/>
      <c r="M48" s="2" t="str">
        <f>IF(J48="",ROUND(I48*(1-IF(ISBLANK(L48),K48,L48)/100),2),ROUND(J48*(1-IF(ISBLANK(L48),K48,L48)/100),2))</f>
      </c>
      <c r="N48" s="7" t="str">
        <f>IF(NOT(AND(J48="",L48="")),IF(OR(AND(L48&lt;&gt;"",NOT(ISNUMBER(L48))),IFERROR(MOD(L48,1),1)&gt;0,AND(ISNUMBER(L48),OR(L48&lt;0,L48&gt;95))),"Введите целое число от 0 до 95",IF(OR(AND(J48&lt;&gt;"",NOT(ISNUMBER(J48))),IFERROR(MOD(J48,1),1)&gt;0,AND(ISNUMBER(J48),OR(J48&lt;50,J48&gt;20000000))),"Введите целое число от 50 до 20000000",IF(NOT(ABS(IFERROR(VALUE(LEFT(M48,FIND("-",M48)-1)),M48)*100-(2500+2000000000)/2)&lt;=ABS(2500-2000000000)/2),"Цена со скидкой должна быть от 25 до 20000000",IF(IFERROR(VALUE(LEFT(M48,FIND("-",M48)-1)),M48)*229&lt;49499,"Вы уменьшили цену в несколько раз, товар попадет в карантин цен",IF(AND(IFERROR(VALUE(I48),0)=0,ISNUMBER(J48),OR(J48&lt;226,ABS(IFERROR(VALUE(LEFT(M48,FIND("-",M48)-1)),M48))*100&lt;22600)),"Проверьте цену товара. Большинство товаров в выбранной категории стоят дороже 226",""))))),"")</f>
      </c>
    </row>
    <row r="49">
      <c r="A49" s="2" t="inlineStr">
        <is>
          <t>VitalEmb</t>
        </is>
      </c>
      <c r="B49" s="2" t="inlineStr">
        <is>
          <t>Декор для одежды</t>
        </is>
      </c>
      <c r="C49" s="2">
        <v>605284274</v>
      </c>
      <c r="D49" s="2" t="inlineStr">
        <is>
          <t>pzkit2mh0001_222836_pzmh0099</t>
        </is>
      </c>
      <c r="E49" s="2" t="inlineStr">
        <is>
          <t>2047173204970</t>
        </is>
      </c>
      <c r="F49" s="2">
        <v>9</v>
      </c>
      <c r="G49" s="2">
        <v>0</v>
      </c>
      <c r="H49" s="2">
        <v>277</v>
      </c>
      <c r="I49" s="2" t="inlineStr">
        <is>
          <t>2000</t>
        </is>
      </c>
      <c r="J49" s="4"/>
      <c r="K49" s="2">
        <v>53</v>
      </c>
      <c r="L49" s="6"/>
      <c r="M49" s="2" t="str">
        <f>IF(J49="",ROUND(I49*(1-IF(ISBLANK(L49),K49,L49)/100),2),ROUND(J49*(1-IF(ISBLANK(L49),K49,L49)/100),2))</f>
      </c>
      <c r="N49" s="7" t="str">
        <f>IF(NOT(AND(J49="",L49="")),IF(OR(AND(L49&lt;&gt;"",NOT(ISNUMBER(L49))),IFERROR(MOD(L49,1),1)&gt;0,AND(ISNUMBER(L49),OR(L49&lt;0,L49&gt;95))),"Введите целое число от 0 до 95",IF(OR(AND(J49&lt;&gt;"",NOT(ISNUMBER(J49))),IFERROR(MOD(J49,1),1)&gt;0,AND(ISNUMBER(J49),OR(J49&lt;50,J49&gt;20000000))),"Введите целое число от 50 до 20000000",IF(NOT(ABS(IFERROR(VALUE(LEFT(M49,FIND("-",M49)-1)),M49)*100-(2500+2000000000)/2)&lt;=ABS(2500-2000000000)/2),"Цена со скидкой должна быть от 25 до 20000000",IF(IFERROR(VALUE(LEFT(M49,FIND("-",M49)-1)),M49)*229&lt;94000,"Вы уменьшили цену в несколько раз, товар попадет в карантин цен",IF(AND(IFERROR(VALUE(I49),0)=0,ISNUMBER(J49),OR(J49&lt;226,ABS(IFERROR(VALUE(LEFT(M49,FIND("-",M49)-1)),M49))*100&lt;22600)),"Проверьте цену товара. Большинство товаров в выбранной категории стоят дороже 226",""))))),"")</f>
      </c>
    </row>
    <row r="50">
      <c r="A50" s="2" t="inlineStr">
        <is>
          <t>VitalEmb</t>
        </is>
      </c>
      <c r="B50" s="2" t="inlineStr">
        <is>
          <t>Декор для одежды</t>
        </is>
      </c>
      <c r="C50" s="2">
        <v>682403338</v>
      </c>
      <c r="D50" s="2" t="inlineStr">
        <is>
          <t>mvdkit2nr0006</t>
        </is>
      </c>
      <c r="E50" s="2" t="inlineStr">
        <is>
          <t>2047698940261</t>
        </is>
      </c>
      <c r="F50" s="2">
        <v>20</v>
      </c>
      <c r="G50" s="2">
        <v>0</v>
      </c>
      <c r="H50" s="2">
        <v>999</v>
      </c>
      <c r="I50" s="2" t="inlineStr">
        <is>
          <t>2000</t>
        </is>
      </c>
      <c r="J50" s="4"/>
      <c r="K50" s="2">
        <v>57</v>
      </c>
      <c r="L50" s="6"/>
      <c r="M50" s="2" t="str">
        <f>IF(J50="",ROUND(I50*(1-IF(ISBLANK(L50),K50,L50)/100),2),ROUND(J50*(1-IF(ISBLANK(L50),K50,L50)/100),2))</f>
      </c>
      <c r="N50" s="7" t="str">
        <f>IF(NOT(AND(J50="",L50="")),IF(OR(AND(L50&lt;&gt;"",NOT(ISNUMBER(L50))),IFERROR(MOD(L50,1),1)&gt;0,AND(ISNUMBER(L50),OR(L50&lt;0,L50&gt;95))),"Введите целое число от 0 до 95",IF(OR(AND(J50&lt;&gt;"",NOT(ISNUMBER(J50))),IFERROR(MOD(J50,1),1)&gt;0,AND(ISNUMBER(J50),OR(J50&lt;50,J50&gt;20000000))),"Введите целое число от 50 до 20000000",IF(NOT(ABS(IFERROR(VALUE(LEFT(M50,FIND("-",M50)-1)),M50)*100-(2500+2000000000)/2)&lt;=ABS(2500-2000000000)/2),"Цена со скидкой должна быть от 25 до 20000000",IF(IFERROR(VALUE(LEFT(M50,FIND("-",M50)-1)),M50)*229&lt;86000,"Вы уменьшили цену в несколько раз, товар попадет в карантин цен",IF(AND(IFERROR(VALUE(I50),0)=0,ISNUMBER(J50),OR(J50&lt;226,ABS(IFERROR(VALUE(LEFT(M50,FIND("-",M50)-1)),M50))*100&lt;22600)),"Проверьте цену товара. Большинство товаров в выбранной категории стоят дороже 226",""))))),"")</f>
      </c>
    </row>
    <row r="51">
      <c r="A51" s="2" t="inlineStr">
        <is>
          <t>VitalEmb</t>
        </is>
      </c>
      <c r="B51" s="2" t="inlineStr">
        <is>
          <t>Декор для одежды</t>
        </is>
      </c>
      <c r="C51" s="2">
        <v>649690941</v>
      </c>
      <c r="D51" s="2" t="inlineStr">
        <is>
          <t>bplapict0019</t>
        </is>
      </c>
      <c r="E51" s="2" t="inlineStr">
        <is>
          <t>2047489993698</t>
        </is>
      </c>
      <c r="F51" s="2">
        <v>43</v>
      </c>
      <c r="G51" s="2">
        <v>0</v>
      </c>
      <c r="H51" s="2">
        <v>999</v>
      </c>
      <c r="I51" s="2" t="inlineStr">
        <is>
          <t>1100</t>
        </is>
      </c>
      <c r="J51" s="4"/>
      <c r="K51" s="2">
        <v>58</v>
      </c>
      <c r="L51" s="6"/>
      <c r="M51" s="2" t="str">
        <f>IF(J51="",ROUND(I51*(1-IF(ISBLANK(L51),K51,L51)/100),2),ROUND(J51*(1-IF(ISBLANK(L51),K51,L51)/100),2))</f>
      </c>
      <c r="N51" s="7" t="str">
        <f>IF(NOT(AND(J51="",L51="")),IF(OR(AND(L51&lt;&gt;"",NOT(ISNUMBER(L51))),IFERROR(MOD(L51,1),1)&gt;0,AND(ISNUMBER(L51),OR(L51&lt;0,L51&gt;95))),"Введите целое число от 0 до 95",IF(OR(AND(J51&lt;&gt;"",NOT(ISNUMBER(J51))),IFERROR(MOD(J51,1),1)&gt;0,AND(ISNUMBER(J51),OR(J51&lt;50,J51&gt;20000000))),"Введите целое число от 50 до 20000000",IF(NOT(ABS(IFERROR(VALUE(LEFT(M51,FIND("-",M51)-1)),M51)*100-(2500+2000000000)/2)&lt;=ABS(2500-2000000000)/2),"Цена со скидкой должна быть от 25 до 20000000",IF(IFERROR(VALUE(LEFT(M51,FIND("-",M51)-1)),M51)*229&lt;46200,"Вы уменьшили цену в несколько раз, товар попадет в карантин цен",IF(AND(IFERROR(VALUE(I51),0)=0,ISNUMBER(J51),OR(J51&lt;226,ABS(IFERROR(VALUE(LEFT(M51,FIND("-",M51)-1)),M51))*100&lt;22600)),"Проверьте цену товара. Большинство товаров в выбранной категории стоят дороже 226",""))))),"")</f>
      </c>
    </row>
    <row r="52">
      <c r="A52" s="2" t="inlineStr">
        <is>
          <t>VitalEmb</t>
        </is>
      </c>
      <c r="B52" s="2" t="inlineStr">
        <is>
          <t>Декор для одежды</t>
        </is>
      </c>
      <c r="C52" s="2">
        <v>600622733</v>
      </c>
      <c r="D52" s="2" t="inlineStr">
        <is>
          <t>shtpict0006_pict0167</t>
        </is>
      </c>
      <c r="E52" s="2" t="inlineStr">
        <is>
          <t>2047129010242</t>
        </is>
      </c>
      <c r="F52" s="2">
        <v>10</v>
      </c>
      <c r="G52" s="2">
        <v>0</v>
      </c>
      <c r="H52" s="2">
        <v>63</v>
      </c>
      <c r="I52" s="2" t="inlineStr">
        <is>
          <t>1100</t>
        </is>
      </c>
      <c r="J52" s="4"/>
      <c r="K52" s="2">
        <v>58</v>
      </c>
      <c r="L52" s="6"/>
      <c r="M52" s="2" t="str">
        <f>IF(J52="",ROUND(I52*(1-IF(ISBLANK(L52),K52,L52)/100),2),ROUND(J52*(1-IF(ISBLANK(L52),K52,L52)/100),2))</f>
      </c>
      <c r="N52" s="7" t="str">
        <f>IF(NOT(AND(J52="",L52="")),IF(OR(AND(L52&lt;&gt;"",NOT(ISNUMBER(L52))),IFERROR(MOD(L52,1),1)&gt;0,AND(ISNUMBER(L52),OR(L52&lt;0,L52&gt;95))),"Введите целое число от 0 до 95",IF(OR(AND(J52&lt;&gt;"",NOT(ISNUMBER(J52))),IFERROR(MOD(J52,1),1)&gt;0,AND(ISNUMBER(J52),OR(J52&lt;50,J52&gt;20000000))),"Введите целое число от 50 до 20000000",IF(NOT(ABS(IFERROR(VALUE(LEFT(M52,FIND("-",M52)-1)),M52)*100-(2500+2000000000)/2)&lt;=ABS(2500-2000000000)/2),"Цена со скидкой должна быть от 25 до 20000000",IF(IFERROR(VALUE(LEFT(M52,FIND("-",M52)-1)),M52)*229&lt;46200,"Вы уменьшили цену в несколько раз, товар попадет в карантин цен",IF(AND(IFERROR(VALUE(I52),0)=0,ISNUMBER(J52),OR(J52&lt;226,ABS(IFERROR(VALUE(LEFT(M52,FIND("-",M52)-1)),M52))*100&lt;22600)),"Проверьте цену товара. Большинство товаров в выбранной категории стоят дороже 226",""))))),"")</f>
      </c>
    </row>
    <row r="53">
      <c r="A53" s="2" t="inlineStr">
        <is>
          <t>VitalEmb</t>
        </is>
      </c>
      <c r="B53" s="2" t="inlineStr">
        <is>
          <t>Декор для одежды</t>
        </is>
      </c>
      <c r="C53" s="2">
        <v>605245187</v>
      </c>
      <c r="D53" s="2" t="inlineStr">
        <is>
          <t>shtpict0010_pict0140</t>
        </is>
      </c>
      <c r="E53" s="2" t="inlineStr">
        <is>
          <t>2047172739510</t>
        </is>
      </c>
      <c r="F53" s="2">
        <v>21</v>
      </c>
      <c r="G53" s="2">
        <v>0</v>
      </c>
      <c r="H53" s="2">
        <v>999</v>
      </c>
      <c r="I53" s="2" t="inlineStr">
        <is>
          <t>1100</t>
        </is>
      </c>
      <c r="J53" s="4"/>
      <c r="K53" s="2">
        <v>63</v>
      </c>
      <c r="L53" s="6"/>
      <c r="M53" s="2" t="str">
        <f>IF(J53="",ROUND(I53*(1-IF(ISBLANK(L53),K53,L53)/100),2),ROUND(J53*(1-IF(ISBLANK(L53),K53,L53)/100),2))</f>
      </c>
      <c r="N53" s="7" t="str">
        <f>IF(NOT(AND(J53="",L53="")),IF(OR(AND(L53&lt;&gt;"",NOT(ISNUMBER(L53))),IFERROR(MOD(L53,1),1)&gt;0,AND(ISNUMBER(L53),OR(L53&lt;0,L53&gt;95))),"Введите целое число от 0 до 95",IF(OR(AND(J53&lt;&gt;"",NOT(ISNUMBER(J53))),IFERROR(MOD(J53,1),1)&gt;0,AND(ISNUMBER(J53),OR(J53&lt;50,J53&gt;20000000))),"Введите целое число от 50 до 20000000",IF(NOT(ABS(IFERROR(VALUE(LEFT(M53,FIND("-",M53)-1)),M53)*100-(2500+2000000000)/2)&lt;=ABS(2500-2000000000)/2),"Цена со скидкой должна быть от 25 до 20000000",IF(IFERROR(VALUE(LEFT(M53,FIND("-",M53)-1)),M53)*229&lt;40700,"Вы уменьшили цену в несколько раз, товар попадет в карантин цен",IF(AND(IFERROR(VALUE(I53),0)=0,ISNUMBER(J53),OR(J53&lt;226,ABS(IFERROR(VALUE(LEFT(M53,FIND("-",M53)-1)),M53))*100&lt;22600)),"Проверьте цену товара. Большинство товаров в выбранной категории стоят дороже 226",""))))),"")</f>
      </c>
    </row>
    <row r="54">
      <c r="A54" s="2" t="inlineStr">
        <is>
          <t>VitalEmb</t>
        </is>
      </c>
      <c r="B54" s="2" t="inlineStr">
        <is>
          <t>Декор для одежды</t>
        </is>
      </c>
      <c r="C54" s="2">
        <v>682429632</v>
      </c>
      <c r="D54" s="2" t="inlineStr">
        <is>
          <t>mvdkit2nr0008</t>
        </is>
      </c>
      <c r="E54" s="2" t="inlineStr">
        <is>
          <t>2047699163010</t>
        </is>
      </c>
      <c r="F54" s="2">
        <v>15</v>
      </c>
      <c r="G54" s="2">
        <v>0</v>
      </c>
      <c r="H54" s="2">
        <v>999</v>
      </c>
      <c r="I54" s="2" t="inlineStr">
        <is>
          <t>2000</t>
        </is>
      </c>
      <c r="J54" s="4"/>
      <c r="K54" s="2">
        <v>57</v>
      </c>
      <c r="L54" s="6"/>
      <c r="M54" s="2" t="str">
        <f>IF(J54="",ROUND(I54*(1-IF(ISBLANK(L54),K54,L54)/100),2),ROUND(J54*(1-IF(ISBLANK(L54),K54,L54)/100),2))</f>
      </c>
      <c r="N54" s="7" t="str">
        <f>IF(NOT(AND(J54="",L54="")),IF(OR(AND(L54&lt;&gt;"",NOT(ISNUMBER(L54))),IFERROR(MOD(L54,1),1)&gt;0,AND(ISNUMBER(L54),OR(L54&lt;0,L54&gt;95))),"Введите целое число от 0 до 95",IF(OR(AND(J54&lt;&gt;"",NOT(ISNUMBER(J54))),IFERROR(MOD(J54,1),1)&gt;0,AND(ISNUMBER(J54),OR(J54&lt;50,J54&gt;20000000))),"Введите целое число от 50 до 20000000",IF(NOT(ABS(IFERROR(VALUE(LEFT(M54,FIND("-",M54)-1)),M54)*100-(2500+2000000000)/2)&lt;=ABS(2500-2000000000)/2),"Цена со скидкой должна быть от 25 до 20000000",IF(IFERROR(VALUE(LEFT(M54,FIND("-",M54)-1)),M54)*229&lt;86000,"Вы уменьшили цену в несколько раз, товар попадет в карантин цен",IF(AND(IFERROR(VALUE(I54),0)=0,ISNUMBER(J54),OR(J54&lt;226,ABS(IFERROR(VALUE(LEFT(M54,FIND("-",M54)-1)),M54))*100&lt;22600)),"Проверьте цену товара. Большинство товаров в выбранной категории стоят дороже 226",""))))),"")</f>
      </c>
    </row>
    <row r="55">
      <c r="A55" s="2" t="inlineStr">
        <is>
          <t>VitalEmb</t>
        </is>
      </c>
      <c r="B55" s="2" t="inlineStr">
        <is>
          <t>Декор для одежды</t>
        </is>
      </c>
      <c r="C55" s="2">
        <v>707892601</v>
      </c>
      <c r="D55" s="2" t="inlineStr">
        <is>
          <t>rosgkit20009</t>
        </is>
      </c>
      <c r="E55" s="2" t="inlineStr">
        <is>
          <t>2047903875784</t>
        </is>
      </c>
      <c r="F55" s="2">
        <v>15</v>
      </c>
      <c r="G55" s="2">
        <v>0</v>
      </c>
      <c r="H55" s="2">
        <v>473</v>
      </c>
      <c r="I55" s="2" t="inlineStr">
        <is>
          <t>2000</t>
        </is>
      </c>
      <c r="J55" s="4"/>
      <c r="K55" s="2">
        <v>57</v>
      </c>
      <c r="L55" s="6"/>
      <c r="M55" s="2" t="str">
        <f>IF(J55="",ROUND(I55*(1-IF(ISBLANK(L55),K55,L55)/100),2),ROUND(J55*(1-IF(ISBLANK(L55),K55,L55)/100),2))</f>
      </c>
      <c r="N55" s="7" t="str">
        <f>IF(NOT(AND(J55="",L55="")),IF(OR(AND(L55&lt;&gt;"",NOT(ISNUMBER(L55))),IFERROR(MOD(L55,1),1)&gt;0,AND(ISNUMBER(L55),OR(L55&lt;0,L55&gt;95))),"Введите целое число от 0 до 95",IF(OR(AND(J55&lt;&gt;"",NOT(ISNUMBER(J55))),IFERROR(MOD(J55,1),1)&gt;0,AND(ISNUMBER(J55),OR(J55&lt;50,J55&gt;20000000))),"Введите целое число от 50 до 20000000",IF(NOT(ABS(IFERROR(VALUE(LEFT(M55,FIND("-",M55)-1)),M55)*100-(2500+2000000000)/2)&lt;=ABS(2500-2000000000)/2),"Цена со скидкой должна быть от 25 до 20000000",IF(IFERROR(VALUE(LEFT(M55,FIND("-",M55)-1)),M55)*229&lt;86000,"Вы уменьшили цену в несколько раз, товар попадет в карантин цен",IF(AND(IFERROR(VALUE(I55),0)=0,ISNUMBER(J55),OR(J55&lt;226,ABS(IFERROR(VALUE(LEFT(M55,FIND("-",M55)-1)),M55))*100&lt;22600)),"Проверьте цену товара. Большинство товаров в выбранной категории стоят дороже 226",""))))),"")</f>
      </c>
    </row>
    <row r="56">
      <c r="A56" s="2" t="inlineStr">
        <is>
          <t>VitalEmb</t>
        </is>
      </c>
      <c r="B56" s="2" t="inlineStr">
        <is>
          <t>Декор для одежды</t>
        </is>
      </c>
      <c r="C56" s="2">
        <v>719736849</v>
      </c>
      <c r="D56" s="2" t="inlineStr">
        <is>
          <t>razpict0050</t>
        </is>
      </c>
      <c r="E56" s="2" t="inlineStr">
        <is>
          <t>2047991625599</t>
        </is>
      </c>
      <c r="F56" s="2">
        <v>14</v>
      </c>
      <c r="G56" s="2">
        <v>0</v>
      </c>
      <c r="H56" s="2">
        <v>999</v>
      </c>
      <c r="I56" s="2" t="inlineStr">
        <is>
          <t>1100</t>
        </is>
      </c>
      <c r="J56" s="4"/>
      <c r="K56" s="2">
        <v>53</v>
      </c>
      <c r="L56" s="6"/>
      <c r="M56" s="2" t="str">
        <f>IF(J56="",ROUND(I56*(1-IF(ISBLANK(L56),K56,L56)/100),2),ROUND(J56*(1-IF(ISBLANK(L56),K56,L56)/100),2))</f>
      </c>
      <c r="N56" s="7" t="str">
        <f>IF(NOT(AND(J56="",L56="")),IF(OR(AND(L56&lt;&gt;"",NOT(ISNUMBER(L56))),IFERROR(MOD(L56,1),1)&gt;0,AND(ISNUMBER(L56),OR(L56&lt;0,L56&gt;95))),"Введите целое число от 0 до 95",IF(OR(AND(J56&lt;&gt;"",NOT(ISNUMBER(J56))),IFERROR(MOD(J56,1),1)&gt;0,AND(ISNUMBER(J56),OR(J56&lt;50,J56&gt;20000000))),"Введите целое число от 50 до 20000000",IF(NOT(ABS(IFERROR(VALUE(LEFT(M56,FIND("-",M56)-1)),M56)*100-(2500+2000000000)/2)&lt;=ABS(2500-2000000000)/2),"Цена со скидкой должна быть от 25 до 20000000",IF(IFERROR(VALUE(LEFT(M56,FIND("-",M56)-1)),M56)*229&lt;51700,"Вы уменьшили цену в несколько раз, товар попадет в карантин цен",IF(AND(IFERROR(VALUE(I56),0)=0,ISNUMBER(J56),OR(J56&lt;226,ABS(IFERROR(VALUE(LEFT(M56,FIND("-",M56)-1)),M56))*100&lt;22600)),"Проверьте цену товара. Большинство товаров в выбранной категории стоят дороже 226",""))))),"")</f>
      </c>
    </row>
    <row r="57">
      <c r="A57" s="2" t="inlineStr">
        <is>
          <t>VitalEmb</t>
        </is>
      </c>
      <c r="B57" s="2" t="inlineStr">
        <is>
          <t>Декор для одежды</t>
        </is>
      </c>
      <c r="C57" s="2">
        <v>612404036</v>
      </c>
      <c r="D57" s="2" t="inlineStr">
        <is>
          <t>pzngol0025_222185</t>
        </is>
      </c>
      <c r="E57" s="2" t="inlineStr">
        <is>
          <t>2047245671129</t>
        </is>
      </c>
      <c r="F57" s="2">
        <v>9</v>
      </c>
      <c r="G57" s="2">
        <v>0</v>
      </c>
      <c r="H57" s="2">
        <v>1</v>
      </c>
      <c r="I57" s="2" t="inlineStr">
        <is>
          <t>1100</t>
        </is>
      </c>
      <c r="J57" s="4"/>
      <c r="K57" s="2">
        <v>55</v>
      </c>
      <c r="L57" s="6"/>
      <c r="M57" s="2" t="str">
        <f>IF(J57="",ROUND(I57*(1-IF(ISBLANK(L57),K57,L57)/100),2),ROUND(J57*(1-IF(ISBLANK(L57),K57,L57)/100),2))</f>
      </c>
      <c r="N57" s="7" t="str">
        <f>IF(NOT(AND(J57="",L57="")),IF(OR(AND(L57&lt;&gt;"",NOT(ISNUMBER(L57))),IFERROR(MOD(L57,1),1)&gt;0,AND(ISNUMBER(L57),OR(L57&lt;0,L57&gt;95))),"Введите целое число от 0 до 95",IF(OR(AND(J57&lt;&gt;"",NOT(ISNUMBER(J57))),IFERROR(MOD(J57,1),1)&gt;0,AND(ISNUMBER(J57),OR(J57&lt;50,J57&gt;20000000))),"Введите целое число от 50 до 20000000",IF(NOT(ABS(IFERROR(VALUE(LEFT(M57,FIND("-",M57)-1)),M57)*100-(2500+2000000000)/2)&lt;=ABS(2500-2000000000)/2),"Цена со скидкой должна быть от 25 до 20000000",IF(IFERROR(VALUE(LEFT(M57,FIND("-",M57)-1)),M57)*229&lt;49499,"Вы уменьшили цену в несколько раз, товар попадет в карантин цен",IF(AND(IFERROR(VALUE(I57),0)=0,ISNUMBER(J57),OR(J57&lt;226,ABS(IFERROR(VALUE(LEFT(M57,FIND("-",M57)-1)),M57))*100&lt;22600)),"Проверьте цену товара. Большинство товаров в выбранной категории стоят дороже 226",""))))),"")</f>
      </c>
    </row>
    <row r="58">
      <c r="A58" s="2" t="inlineStr">
        <is>
          <t>VitalEmb</t>
        </is>
      </c>
      <c r="B58" s="2" t="inlineStr">
        <is>
          <t>Декор для одежды</t>
        </is>
      </c>
      <c r="C58" s="2">
        <v>595863210</v>
      </c>
      <c r="D58" s="2" t="inlineStr">
        <is>
          <t>bplapict0006_222793</t>
        </is>
      </c>
      <c r="E58" s="2" t="inlineStr">
        <is>
          <t>2047076003366</t>
        </is>
      </c>
      <c r="F58" s="2">
        <v>5</v>
      </c>
      <c r="G58" s="2">
        <v>0</v>
      </c>
      <c r="H58" s="2">
        <v>999</v>
      </c>
      <c r="I58" s="2" t="inlineStr">
        <is>
          <t>1100</t>
        </is>
      </c>
      <c r="J58" s="4"/>
      <c r="K58" s="2">
        <v>64</v>
      </c>
      <c r="L58" s="6"/>
      <c r="M58" s="2" t="str">
        <f>IF(J58="",ROUND(I58*(1-IF(ISBLANK(L58),K58,L58)/100),2),ROUND(J58*(1-IF(ISBLANK(L58),K58,L58)/100),2))</f>
      </c>
      <c r="N58" s="7" t="str">
        <f>IF(NOT(AND(J58="",L58="")),IF(OR(AND(L58&lt;&gt;"",NOT(ISNUMBER(L58))),IFERROR(MOD(L58,1),1)&gt;0,AND(ISNUMBER(L58),OR(L58&lt;0,L58&gt;95))),"Введите целое число от 0 до 95",IF(OR(AND(J58&lt;&gt;"",NOT(ISNUMBER(J58))),IFERROR(MOD(J58,1),1)&gt;0,AND(ISNUMBER(J58),OR(J58&lt;50,J58&gt;20000000))),"Введите целое число от 50 до 20000000",IF(NOT(ABS(IFERROR(VALUE(LEFT(M58,FIND("-",M58)-1)),M58)*100-(2500+2000000000)/2)&lt;=ABS(2500-2000000000)/2),"Цена со скидкой должна быть от 25 до 20000000",IF(IFERROR(VALUE(LEFT(M58,FIND("-",M58)-1)),M58)*229&lt;39600,"Вы уменьшили цену в несколько раз, товар попадет в карантин цен",IF(AND(IFERROR(VALUE(I58),0)=0,ISNUMBER(J58),OR(J58&lt;226,ABS(IFERROR(VALUE(LEFT(M58,FIND("-",M58)-1)),M58))*100&lt;22600)),"Проверьте цену товара. Большинство товаров в выбранной категории стоят дороже 226",""))))),"")</f>
      </c>
    </row>
    <row r="59">
      <c r="A59" s="2" t="inlineStr">
        <is>
          <t>VitalEmb</t>
        </is>
      </c>
      <c r="B59" s="2" t="inlineStr">
        <is>
          <t>Декор для одежды</t>
        </is>
      </c>
      <c r="C59" s="2">
        <v>662741312</v>
      </c>
      <c r="D59" s="2" t="inlineStr">
        <is>
          <t>raztext0002</t>
        </is>
      </c>
      <c r="E59" s="2" t="inlineStr">
        <is>
          <t>2047550649202</t>
        </is>
      </c>
      <c r="F59" s="2">
        <v>23</v>
      </c>
      <c r="G59" s="2">
        <v>0</v>
      </c>
      <c r="H59" s="2">
        <v>999</v>
      </c>
      <c r="I59" s="2" t="inlineStr">
        <is>
          <t>1100</t>
        </is>
      </c>
      <c r="J59" s="4"/>
      <c r="K59" s="2">
        <v>58</v>
      </c>
      <c r="L59" s="6"/>
      <c r="M59" s="2" t="str">
        <f>IF(J59="",ROUND(I59*(1-IF(ISBLANK(L59),K59,L59)/100),2),ROUND(J59*(1-IF(ISBLANK(L59),K59,L59)/100),2))</f>
      </c>
      <c r="N59" s="7" t="str">
        <f>IF(NOT(AND(J59="",L59="")),IF(OR(AND(L59&lt;&gt;"",NOT(ISNUMBER(L59))),IFERROR(MOD(L59,1),1)&gt;0,AND(ISNUMBER(L59),OR(L59&lt;0,L59&gt;95))),"Введите целое число от 0 до 95",IF(OR(AND(J59&lt;&gt;"",NOT(ISNUMBER(J59))),IFERROR(MOD(J59,1),1)&gt;0,AND(ISNUMBER(J59),OR(J59&lt;50,J59&gt;20000000))),"Введите целое число от 50 до 20000000",IF(NOT(ABS(IFERROR(VALUE(LEFT(M59,FIND("-",M59)-1)),M59)*100-(2500+2000000000)/2)&lt;=ABS(2500-2000000000)/2),"Цена со скидкой должна быть от 25 до 20000000",IF(IFERROR(VALUE(LEFT(M59,FIND("-",M59)-1)),M59)*229&lt;46200,"Вы уменьшили цену в несколько раз, товар попадет в карантин цен",IF(AND(IFERROR(VALUE(I59),0)=0,ISNUMBER(J59),OR(J59&lt;226,ABS(IFERROR(VALUE(LEFT(M59,FIND("-",M59)-1)),M59))*100&lt;22600)),"Проверьте цену товара. Большинство товаров в выбранной категории стоят дороже 226",""))))),"")</f>
      </c>
    </row>
    <row r="60">
      <c r="A60" s="2" t="inlineStr">
        <is>
          <t>VitalEmb</t>
        </is>
      </c>
      <c r="B60" s="2" t="inlineStr">
        <is>
          <t>Декор для одежды</t>
        </is>
      </c>
      <c r="C60" s="2">
        <v>711814894</v>
      </c>
      <c r="D60" s="2" t="inlineStr">
        <is>
          <t>shtpict0014</t>
        </is>
      </c>
      <c r="E60" s="2" t="inlineStr">
        <is>
          <t>2047944845814</t>
        </is>
      </c>
      <c r="F60" s="2">
        <v>33</v>
      </c>
      <c r="G60" s="2">
        <v>0</v>
      </c>
      <c r="H60" s="2">
        <v>999</v>
      </c>
      <c r="I60" s="2" t="inlineStr">
        <is>
          <t>1100</t>
        </is>
      </c>
      <c r="J60" s="4"/>
      <c r="K60" s="2">
        <v>61</v>
      </c>
      <c r="L60" s="6"/>
      <c r="M60" s="2" t="str">
        <f>IF(J60="",ROUND(I60*(1-IF(ISBLANK(L60),K60,L60)/100),2),ROUND(J60*(1-IF(ISBLANK(L60),K60,L60)/100),2))</f>
      </c>
      <c r="N60" s="7" t="str">
        <f>IF(NOT(AND(J60="",L60="")),IF(OR(AND(L60&lt;&gt;"",NOT(ISNUMBER(L60))),IFERROR(MOD(L60,1),1)&gt;0,AND(ISNUMBER(L60),OR(L60&lt;0,L60&gt;95))),"Введите целое число от 0 до 95",IF(OR(AND(J60&lt;&gt;"",NOT(ISNUMBER(J60))),IFERROR(MOD(J60,1),1)&gt;0,AND(ISNUMBER(J60),OR(J60&lt;50,J60&gt;20000000))),"Введите целое число от 50 до 20000000",IF(NOT(ABS(IFERROR(VALUE(LEFT(M60,FIND("-",M60)-1)),M60)*100-(2500+2000000000)/2)&lt;=ABS(2500-2000000000)/2),"Цена со скидкой должна быть от 25 до 20000000",IF(IFERROR(VALUE(LEFT(M60,FIND("-",M60)-1)),M60)*229&lt;42900,"Вы уменьшили цену в несколько раз, товар попадет в карантин цен",IF(AND(IFERROR(VALUE(I60),0)=0,ISNUMBER(J60),OR(J60&lt;226,ABS(IFERROR(VALUE(LEFT(M60,FIND("-",M60)-1)),M60))*100&lt;22600)),"Проверьте цену товара. Большинство товаров в выбранной категории стоят дороже 226",""))))),"")</f>
      </c>
    </row>
    <row r="61">
      <c r="A61" s="2" t="inlineStr">
        <is>
          <t>VitalEmb</t>
        </is>
      </c>
      <c r="B61" s="2" t="inlineStr">
        <is>
          <t>Декор для одежды</t>
        </is>
      </c>
      <c r="C61" s="2">
        <v>605048674</v>
      </c>
      <c r="D61" s="2" t="inlineStr">
        <is>
          <t>bplapict0016_pict0153</t>
        </is>
      </c>
      <c r="E61" s="2" t="inlineStr">
        <is>
          <t>2047169947997</t>
        </is>
      </c>
      <c r="F61" s="2">
        <v>14</v>
      </c>
      <c r="G61" s="2">
        <v>0</v>
      </c>
      <c r="H61" s="2">
        <v>161</v>
      </c>
      <c r="I61" s="2" t="inlineStr">
        <is>
          <t>1100</t>
        </is>
      </c>
      <c r="J61" s="4"/>
      <c r="K61" s="2">
        <v>63</v>
      </c>
      <c r="L61" s="6"/>
      <c r="M61" s="2" t="str">
        <f>IF(J61="",ROUND(I61*(1-IF(ISBLANK(L61),K61,L61)/100),2),ROUND(J61*(1-IF(ISBLANK(L61),K61,L61)/100),2))</f>
      </c>
      <c r="N61" s="7" t="str">
        <f>IF(NOT(AND(J61="",L61="")),IF(OR(AND(L61&lt;&gt;"",NOT(ISNUMBER(L61))),IFERROR(MOD(L61,1),1)&gt;0,AND(ISNUMBER(L61),OR(L61&lt;0,L61&gt;95))),"Введите целое число от 0 до 95",IF(OR(AND(J61&lt;&gt;"",NOT(ISNUMBER(J61))),IFERROR(MOD(J61,1),1)&gt;0,AND(ISNUMBER(J61),OR(J61&lt;50,J61&gt;20000000))),"Введите целое число от 50 до 20000000",IF(NOT(ABS(IFERROR(VALUE(LEFT(M61,FIND("-",M61)-1)),M61)*100-(2500+2000000000)/2)&lt;=ABS(2500-2000000000)/2),"Цена со скидкой должна быть от 25 до 20000000",IF(IFERROR(VALUE(LEFT(M61,FIND("-",M61)-1)),M61)*229&lt;40700,"Вы уменьшили цену в несколько раз, товар попадет в карантин цен",IF(AND(IFERROR(VALUE(I61),0)=0,ISNUMBER(J61),OR(J61&lt;226,ABS(IFERROR(VALUE(LEFT(M61,FIND("-",M61)-1)),M61))*100&lt;22600)),"Проверьте цену товара. Большинство товаров в выбранной категории стоят дороже 226",""))))),"")</f>
      </c>
    </row>
    <row r="62">
      <c r="A62" s="2" t="inlineStr">
        <is>
          <t>VitalEmb</t>
        </is>
      </c>
      <c r="B62" s="2" t="inlineStr">
        <is>
          <t>Декор для одежды</t>
        </is>
      </c>
      <c r="C62" s="2">
        <v>711696739</v>
      </c>
      <c r="D62" s="2" t="inlineStr">
        <is>
          <t>priktext0015</t>
        </is>
      </c>
      <c r="E62" s="2" t="inlineStr">
        <is>
          <t>2047943857894</t>
        </is>
      </c>
      <c r="F62" s="2">
        <v>19</v>
      </c>
      <c r="G62" s="2">
        <v>0</v>
      </c>
      <c r="H62" s="2">
        <v>999</v>
      </c>
      <c r="I62" s="2" t="inlineStr">
        <is>
          <t>1100</t>
        </is>
      </c>
      <c r="J62" s="4"/>
      <c r="K62" s="2">
        <v>57</v>
      </c>
      <c r="L62" s="6"/>
      <c r="M62" s="2" t="str">
        <f>IF(J62="",ROUND(I62*(1-IF(ISBLANK(L62),K62,L62)/100),2),ROUND(J62*(1-IF(ISBLANK(L62),K62,L62)/100),2))</f>
      </c>
      <c r="N62" s="7" t="str">
        <f>IF(NOT(AND(J62="",L62="")),IF(OR(AND(L62&lt;&gt;"",NOT(ISNUMBER(L62))),IFERROR(MOD(L62,1),1)&gt;0,AND(ISNUMBER(L62),OR(L62&lt;0,L62&gt;95))),"Введите целое число от 0 до 95",IF(OR(AND(J62&lt;&gt;"",NOT(ISNUMBER(J62))),IFERROR(MOD(J62,1),1)&gt;0,AND(ISNUMBER(J62),OR(J62&lt;50,J62&gt;20000000))),"Введите целое число от 50 до 20000000",IF(NOT(ABS(IFERROR(VALUE(LEFT(M62,FIND("-",M62)-1)),M62)*100-(2500+2000000000)/2)&lt;=ABS(2500-2000000000)/2),"Цена со скидкой должна быть от 25 до 20000000",IF(IFERROR(VALUE(LEFT(M62,FIND("-",M62)-1)),M62)*229&lt;47300,"Вы уменьшили цену в несколько раз, товар попадет в карантин цен",IF(AND(IFERROR(VALUE(I62),0)=0,ISNUMBER(J62),OR(J62&lt;226,ABS(IFERROR(VALUE(LEFT(M62,FIND("-",M62)-1)),M62))*100&lt;22600)),"Проверьте цену товара. Большинство товаров в выбранной категории стоят дороже 226",""))))),"")</f>
      </c>
    </row>
    <row r="63">
      <c r="A63" s="2" t="inlineStr">
        <is>
          <t>VitalEmb</t>
        </is>
      </c>
      <c r="B63" s="2" t="inlineStr">
        <is>
          <t>Декор для одежды</t>
        </is>
      </c>
      <c r="C63" s="2">
        <v>600449692</v>
      </c>
      <c r="D63" s="2" t="inlineStr">
        <is>
          <t>vsrfform0008_222767</t>
        </is>
      </c>
      <c r="E63" s="2" t="inlineStr">
        <is>
          <t>2047126363846</t>
        </is>
      </c>
      <c r="F63" s="2">
        <v>10</v>
      </c>
      <c r="G63" s="2">
        <v>0</v>
      </c>
      <c r="H63" s="2">
        <v>999</v>
      </c>
      <c r="I63" s="2" t="inlineStr">
        <is>
          <t>1100</t>
        </is>
      </c>
      <c r="J63" s="4"/>
      <c r="K63" s="2">
        <v>63</v>
      </c>
      <c r="L63" s="6"/>
      <c r="M63" s="2" t="str">
        <f>IF(J63="",ROUND(I63*(1-IF(ISBLANK(L63),K63,L63)/100),2),ROUND(J63*(1-IF(ISBLANK(L63),K63,L63)/100),2))</f>
      </c>
      <c r="N63" s="7" t="str">
        <f>IF(NOT(AND(J63="",L63="")),IF(OR(AND(L63&lt;&gt;"",NOT(ISNUMBER(L63))),IFERROR(MOD(L63,1),1)&gt;0,AND(ISNUMBER(L63),OR(L63&lt;0,L63&gt;95))),"Введите целое число от 0 до 95",IF(OR(AND(J63&lt;&gt;"",NOT(ISNUMBER(J63))),IFERROR(MOD(J63,1),1)&gt;0,AND(ISNUMBER(J63),OR(J63&lt;50,J63&gt;20000000))),"Введите целое число от 50 до 20000000",IF(NOT(ABS(IFERROR(VALUE(LEFT(M63,FIND("-",M63)-1)),M63)*100-(2500+2000000000)/2)&lt;=ABS(2500-2000000000)/2),"Цена со скидкой должна быть от 25 до 20000000",IF(IFERROR(VALUE(LEFT(M63,FIND("-",M63)-1)),M63)*229&lt;40700,"Вы уменьшили цену в несколько раз, товар попадет в карантин цен",IF(AND(IFERROR(VALUE(I63),0)=0,ISNUMBER(J63),OR(J63&lt;226,ABS(IFERROR(VALUE(LEFT(M63,FIND("-",M63)-1)),M63))*100&lt;22600)),"Проверьте цену товара. Большинство товаров в выбранной категории стоят дороже 226",""))))),"")</f>
      </c>
    </row>
    <row r="64">
      <c r="A64" s="2" t="inlineStr">
        <is>
          <t>VitalEmb</t>
        </is>
      </c>
      <c r="B64" s="2" t="inlineStr">
        <is>
          <t>Декор для одежды</t>
        </is>
      </c>
      <c r="C64" s="2">
        <v>605317008</v>
      </c>
      <c r="D64" s="2" t="inlineStr">
        <is>
          <t>pzkit2mh0022_pzmh0101</t>
        </is>
      </c>
      <c r="E64" s="2" t="inlineStr">
        <is>
          <t>2047173717999</t>
        </is>
      </c>
      <c r="F64" s="2">
        <v>12</v>
      </c>
      <c r="G64" s="2">
        <v>0</v>
      </c>
      <c r="H64" s="2">
        <v>1</v>
      </c>
      <c r="I64" s="2" t="inlineStr">
        <is>
          <t>2000</t>
        </is>
      </c>
      <c r="J64" s="4"/>
      <c r="K64" s="2">
        <v>55</v>
      </c>
      <c r="L64" s="6"/>
      <c r="M64" s="2" t="str">
        <f>IF(J64="",ROUND(I64*(1-IF(ISBLANK(L64),K64,L64)/100),2),ROUND(J64*(1-IF(ISBLANK(L64),K64,L64)/100),2))</f>
      </c>
      <c r="N64" s="7" t="str">
        <f>IF(NOT(AND(J64="",L64="")),IF(OR(AND(L64&lt;&gt;"",NOT(ISNUMBER(L64))),IFERROR(MOD(L64,1),1)&gt;0,AND(ISNUMBER(L64),OR(L64&lt;0,L64&gt;95))),"Введите целое число от 0 до 95",IF(OR(AND(J64&lt;&gt;"",NOT(ISNUMBER(J64))),IFERROR(MOD(J64,1),1)&gt;0,AND(ISNUMBER(J64),OR(J64&lt;50,J64&gt;20000000))),"Введите целое число от 50 до 20000000",IF(NOT(ABS(IFERROR(VALUE(LEFT(M64,FIND("-",M64)-1)),M64)*100-(2500+2000000000)/2)&lt;=ABS(2500-2000000000)/2),"Цена со скидкой должна быть от 25 до 20000000",IF(IFERROR(VALUE(LEFT(M64,FIND("-",M64)-1)),M64)*229&lt;89999,"Вы уменьшили цену в несколько раз, товар попадет в карантин цен",IF(AND(IFERROR(VALUE(I64),0)=0,ISNUMBER(J64),OR(J64&lt;226,ABS(IFERROR(VALUE(LEFT(M64,FIND("-",M64)-1)),M64))*100&lt;22600)),"Проверьте цену товара. Большинство товаров в выбранной категории стоят дороже 226",""))))),"")</f>
      </c>
    </row>
    <row r="65">
      <c r="A65" s="2" t="inlineStr">
        <is>
          <t>VitalEmb</t>
        </is>
      </c>
      <c r="B65" s="2" t="inlineStr">
        <is>
          <t>Декор для одежды</t>
        </is>
      </c>
      <c r="C65" s="2">
        <v>655856499</v>
      </c>
      <c r="D65" s="2" t="inlineStr">
        <is>
          <t>rosgnr0002_222441</t>
        </is>
      </c>
      <c r="E65" s="2" t="inlineStr">
        <is>
          <t>2047519482710</t>
        </is>
      </c>
      <c r="F65" s="2" t="inlineStr">
        <is>
          <t/>
        </is>
      </c>
      <c r="G65" s="2" t="inlineStr">
        <is>
          <t/>
        </is>
      </c>
      <c r="H65" s="2" t="inlineStr">
        <is>
          <t/>
        </is>
      </c>
      <c r="I65" s="2" t="inlineStr">
        <is>
          <t>1100</t>
        </is>
      </c>
      <c r="J65" s="4"/>
      <c r="K65" s="2">
        <v>55</v>
      </c>
      <c r="L65" s="6"/>
      <c r="M65" s="2" t="str">
        <f>IF(J65="",ROUND(I65*(1-IF(ISBLANK(L65),K65,L65)/100),2),ROUND(J65*(1-IF(ISBLANK(L65),K65,L65)/100),2))</f>
      </c>
      <c r="N65" s="7" t="str">
        <f>IF(NOT(AND(J65="",L65="")),IF(OR(AND(L65&lt;&gt;"",NOT(ISNUMBER(L65))),IFERROR(MOD(L65,1),1)&gt;0,AND(ISNUMBER(L65),OR(L65&lt;0,L65&gt;95))),"Введите целое число от 0 до 95",IF(OR(AND(J65&lt;&gt;"",NOT(ISNUMBER(J65))),IFERROR(MOD(J65,1),1)&gt;0,AND(ISNUMBER(J65),OR(J65&lt;50,J65&gt;20000000))),"Введите целое число от 50 до 20000000",IF(NOT(ABS(IFERROR(VALUE(LEFT(M65,FIND("-",M65)-1)),M65)*100-(2500+2000000000)/2)&lt;=ABS(2500-2000000000)/2),"Цена со скидкой должна быть от 25 до 20000000",IF(IFERROR(VALUE(LEFT(M65,FIND("-",M65)-1)),M65)*229&lt;49499,"Вы уменьшили цену в несколько раз, товар попадет в карантин цен",IF(AND(IFERROR(VALUE(I65),0)=0,ISNUMBER(J65),OR(J65&lt;226,ABS(IFERROR(VALUE(LEFT(M65,FIND("-",M65)-1)),M65))*100&lt;22600)),"Проверьте цену товара. Большинство товаров в выбранной категории стоят дороже 226",""))))),"")</f>
      </c>
    </row>
    <row r="66">
      <c r="A66" s="2" t="inlineStr">
        <is>
          <t>VitalEmb</t>
        </is>
      </c>
      <c r="B66" s="2" t="inlineStr">
        <is>
          <t>Декор для одежды</t>
        </is>
      </c>
      <c r="C66" s="2">
        <v>655671156</v>
      </c>
      <c r="D66" s="2" t="inlineStr">
        <is>
          <t>razpict0003_pict0014_222005</t>
        </is>
      </c>
      <c r="E66" s="2" t="inlineStr">
        <is>
          <t>2047518821336</t>
        </is>
      </c>
      <c r="F66" s="2">
        <v>16</v>
      </c>
      <c r="G66" s="2">
        <v>0</v>
      </c>
      <c r="H66" s="2">
        <v>999</v>
      </c>
      <c r="I66" s="2" t="inlineStr">
        <is>
          <t>1100</t>
        </is>
      </c>
      <c r="J66" s="4"/>
      <c r="K66" s="2">
        <v>53</v>
      </c>
      <c r="L66" s="6"/>
      <c r="M66" s="2" t="str">
        <f>IF(J66="",ROUND(I66*(1-IF(ISBLANK(L66),K66,L66)/100),2),ROUND(J66*(1-IF(ISBLANK(L66),K66,L66)/100),2))</f>
      </c>
      <c r="N66" s="7" t="str">
        <f>IF(NOT(AND(J66="",L66="")),IF(OR(AND(L66&lt;&gt;"",NOT(ISNUMBER(L66))),IFERROR(MOD(L66,1),1)&gt;0,AND(ISNUMBER(L66),OR(L66&lt;0,L66&gt;95))),"Введите целое число от 0 до 95",IF(OR(AND(J66&lt;&gt;"",NOT(ISNUMBER(J66))),IFERROR(MOD(J66,1),1)&gt;0,AND(ISNUMBER(J66),OR(J66&lt;50,J66&gt;20000000))),"Введите целое число от 50 до 20000000",IF(NOT(ABS(IFERROR(VALUE(LEFT(M66,FIND("-",M66)-1)),M66)*100-(2500+2000000000)/2)&lt;=ABS(2500-2000000000)/2),"Цена со скидкой должна быть от 25 до 20000000",IF(IFERROR(VALUE(LEFT(M66,FIND("-",M66)-1)),M66)*229&lt;51700,"Вы уменьшили цену в несколько раз, товар попадет в карантин цен",IF(AND(IFERROR(VALUE(I66),0)=0,ISNUMBER(J66),OR(J66&lt;226,ABS(IFERROR(VALUE(LEFT(M66,FIND("-",M66)-1)),M66))*100&lt;22600)),"Проверьте цену товара. Большинство товаров в выбранной категории стоят дороже 226",""))))),"")</f>
      </c>
    </row>
    <row r="67">
      <c r="A67" s="2" t="inlineStr">
        <is>
          <t>VitalEmb</t>
        </is>
      </c>
      <c r="B67" s="2" t="inlineStr">
        <is>
          <t>Декор для одежды</t>
        </is>
      </c>
      <c r="C67" s="2">
        <v>682618357</v>
      </c>
      <c r="D67" s="2" t="inlineStr">
        <is>
          <t>priktext0011</t>
        </is>
      </c>
      <c r="E67" s="2" t="inlineStr">
        <is>
          <t>2047700642541</t>
        </is>
      </c>
      <c r="F67" s="2">
        <v>9</v>
      </c>
      <c r="G67" s="2">
        <v>0</v>
      </c>
      <c r="H67" s="2">
        <v>999</v>
      </c>
      <c r="I67" s="2" t="inlineStr">
        <is>
          <t>1100</t>
        </is>
      </c>
      <c r="J67" s="4"/>
      <c r="K67" s="2">
        <v>53</v>
      </c>
      <c r="L67" s="6"/>
      <c r="M67" s="2" t="str">
        <f>IF(J67="",ROUND(I67*(1-IF(ISBLANK(L67),K67,L67)/100),2),ROUND(J67*(1-IF(ISBLANK(L67),K67,L67)/100),2))</f>
      </c>
      <c r="N67" s="7" t="str">
        <f>IF(NOT(AND(J67="",L67="")),IF(OR(AND(L67&lt;&gt;"",NOT(ISNUMBER(L67))),IFERROR(MOD(L67,1),1)&gt;0,AND(ISNUMBER(L67),OR(L67&lt;0,L67&gt;95))),"Введите целое число от 0 до 95",IF(OR(AND(J67&lt;&gt;"",NOT(ISNUMBER(J67))),IFERROR(MOD(J67,1),1)&gt;0,AND(ISNUMBER(J67),OR(J67&lt;50,J67&gt;20000000))),"Введите целое число от 50 до 20000000",IF(NOT(ABS(IFERROR(VALUE(LEFT(M67,FIND("-",M67)-1)),M67)*100-(2500+2000000000)/2)&lt;=ABS(2500-2000000000)/2),"Цена со скидкой должна быть от 25 до 20000000",IF(IFERROR(VALUE(LEFT(M67,FIND("-",M67)-1)),M67)*229&lt;51700,"Вы уменьшили цену в несколько раз, товар попадет в карантин цен",IF(AND(IFERROR(VALUE(I67),0)=0,ISNUMBER(J67),OR(J67&lt;226,ABS(IFERROR(VALUE(LEFT(M67,FIND("-",M67)-1)),M67))*100&lt;22600)),"Проверьте цену товара. Большинство товаров в выбранной категории стоят дороже 226",""))))),"")</f>
      </c>
    </row>
    <row r="68">
      <c r="A68" s="2" t="inlineStr">
        <is>
          <t>VitalEmb</t>
        </is>
      </c>
      <c r="B68" s="2" t="inlineStr">
        <is>
          <t>Декор для одежды</t>
        </is>
      </c>
      <c r="C68" s="2">
        <v>605323292</v>
      </c>
      <c r="D68" s="2" t="inlineStr">
        <is>
          <t>pzkit2mh0023_pzmh0100</t>
        </is>
      </c>
      <c r="E68" s="2" t="inlineStr">
        <is>
          <t>2047173799834</t>
        </is>
      </c>
      <c r="F68" s="2">
        <v>18</v>
      </c>
      <c r="G68" s="2">
        <v>0</v>
      </c>
      <c r="H68" s="2">
        <v>562</v>
      </c>
      <c r="I68" s="2" t="inlineStr">
        <is>
          <t>2000</t>
        </is>
      </c>
      <c r="J68" s="4"/>
      <c r="K68" s="2">
        <v>63</v>
      </c>
      <c r="L68" s="6"/>
      <c r="M68" s="2" t="str">
        <f>IF(J68="",ROUND(I68*(1-IF(ISBLANK(L68),K68,L68)/100),2),ROUND(J68*(1-IF(ISBLANK(L68),K68,L68)/100),2))</f>
      </c>
      <c r="N68" s="7" t="str">
        <f>IF(NOT(AND(J68="",L68="")),IF(OR(AND(L68&lt;&gt;"",NOT(ISNUMBER(L68))),IFERROR(MOD(L68,1),1)&gt;0,AND(ISNUMBER(L68),OR(L68&lt;0,L68&gt;95))),"Введите целое число от 0 до 95",IF(OR(AND(J68&lt;&gt;"",NOT(ISNUMBER(J68))),IFERROR(MOD(J68,1),1)&gt;0,AND(ISNUMBER(J68),OR(J68&lt;50,J68&gt;20000000))),"Введите целое число от 50 до 20000000",IF(NOT(ABS(IFERROR(VALUE(LEFT(M68,FIND("-",M68)-1)),M68)*100-(2500+2000000000)/2)&lt;=ABS(2500-2000000000)/2),"Цена со скидкой должна быть от 25 до 20000000",IF(IFERROR(VALUE(LEFT(M68,FIND("-",M68)-1)),M68)*229&lt;74000,"Вы уменьшили цену в несколько раз, товар попадет в карантин цен",IF(AND(IFERROR(VALUE(I68),0)=0,ISNUMBER(J68),OR(J68&lt;226,ABS(IFERROR(VALUE(LEFT(M68,FIND("-",M68)-1)),M68))*100&lt;22600)),"Проверьте цену товара. Большинство товаров в выбранной категории стоят дороже 226",""))))),"")</f>
      </c>
    </row>
    <row r="69">
      <c r="A69" s="2" t="inlineStr">
        <is>
          <t>VitalEmb</t>
        </is>
      </c>
      <c r="B69" s="2" t="inlineStr">
        <is>
          <t>Декор для одежды</t>
        </is>
      </c>
      <c r="C69" s="2">
        <v>593248568</v>
      </c>
      <c r="D69" s="2" t="inlineStr">
        <is>
          <t>bplapict0004_pict0022_222658</t>
        </is>
      </c>
      <c r="E69" s="2" t="inlineStr">
        <is>
          <t>2047048079542</t>
        </is>
      </c>
      <c r="F69" s="2">
        <v>22</v>
      </c>
      <c r="G69" s="2">
        <v>0</v>
      </c>
      <c r="H69" s="2">
        <v>112</v>
      </c>
      <c r="I69" s="2" t="inlineStr">
        <is>
          <t>1100</t>
        </is>
      </c>
      <c r="J69" s="4"/>
      <c r="K69" s="2">
        <v>65</v>
      </c>
      <c r="L69" s="6"/>
      <c r="M69" s="2" t="str">
        <f>IF(J69="",ROUND(I69*(1-IF(ISBLANK(L69),K69,L69)/100),2),ROUND(J69*(1-IF(ISBLANK(L69),K69,L69)/100),2))</f>
      </c>
      <c r="N69" s="7" t="str">
        <f>IF(NOT(AND(J69="",L69="")),IF(OR(AND(L69&lt;&gt;"",NOT(ISNUMBER(L69))),IFERROR(MOD(L69,1),1)&gt;0,AND(ISNUMBER(L69),OR(L69&lt;0,L69&gt;95))),"Введите целое число от 0 до 95",IF(OR(AND(J69&lt;&gt;"",NOT(ISNUMBER(J69))),IFERROR(MOD(J69,1),1)&gt;0,AND(ISNUMBER(J69),OR(J69&lt;50,J69&gt;20000000))),"Введите целое число от 50 до 20000000",IF(NOT(ABS(IFERROR(VALUE(LEFT(M69,FIND("-",M69)-1)),M69)*100-(2500+2000000000)/2)&lt;=ABS(2500-2000000000)/2),"Цена со скидкой должна быть от 25 до 20000000",IF(IFERROR(VALUE(LEFT(M69,FIND("-",M69)-1)),M69)*229&lt;38500,"Вы уменьшили цену в несколько раз, товар попадет в карантин цен",IF(AND(IFERROR(VALUE(I69),0)=0,ISNUMBER(J69),OR(J69&lt;226,ABS(IFERROR(VALUE(LEFT(M69,FIND("-",M69)-1)),M69))*100&lt;22600)),"Проверьте цену товара. Большинство товаров в выбранной категории стоят дороже 226",""))))),"")</f>
      </c>
    </row>
    <row r="70">
      <c r="A70" s="2" t="inlineStr">
        <is>
          <t>VitalEmb</t>
        </is>
      </c>
      <c r="B70" s="2" t="inlineStr">
        <is>
          <t>Декор для одежды</t>
        </is>
      </c>
      <c r="C70" s="2">
        <v>600696982</v>
      </c>
      <c r="D70" s="2" t="inlineStr">
        <is>
          <t>priktext0006_text0018</t>
        </is>
      </c>
      <c r="E70" s="2" t="inlineStr">
        <is>
          <t>2047130000881</t>
        </is>
      </c>
      <c r="F70" s="2">
        <v>12</v>
      </c>
      <c r="G70" s="2">
        <v>0</v>
      </c>
      <c r="H70" s="2">
        <v>385</v>
      </c>
      <c r="I70" s="2" t="inlineStr">
        <is>
          <t>1100</t>
        </is>
      </c>
      <c r="J70" s="4"/>
      <c r="K70" s="2">
        <v>63</v>
      </c>
      <c r="L70" s="6"/>
      <c r="M70" s="2" t="str">
        <f>IF(J70="",ROUND(I70*(1-IF(ISBLANK(L70),K70,L70)/100),2),ROUND(J70*(1-IF(ISBLANK(L70),K70,L70)/100),2))</f>
      </c>
      <c r="N70" s="7" t="str">
        <f>IF(NOT(AND(J70="",L70="")),IF(OR(AND(L70&lt;&gt;"",NOT(ISNUMBER(L70))),IFERROR(MOD(L70,1),1)&gt;0,AND(ISNUMBER(L70),OR(L70&lt;0,L70&gt;95))),"Введите целое число от 0 до 95",IF(OR(AND(J70&lt;&gt;"",NOT(ISNUMBER(J70))),IFERROR(MOD(J70,1),1)&gt;0,AND(ISNUMBER(J70),OR(J70&lt;50,J70&gt;20000000))),"Введите целое число от 50 до 20000000",IF(NOT(ABS(IFERROR(VALUE(LEFT(M70,FIND("-",M70)-1)),M70)*100-(2500+2000000000)/2)&lt;=ABS(2500-2000000000)/2),"Цена со скидкой должна быть от 25 до 20000000",IF(IFERROR(VALUE(LEFT(M70,FIND("-",M70)-1)),M70)*229&lt;40700,"Вы уменьшили цену в несколько раз, товар попадет в карантин цен",IF(AND(IFERROR(VALUE(I70),0)=0,ISNUMBER(J70),OR(J70&lt;226,ABS(IFERROR(VALUE(LEFT(M70,FIND("-",M70)-1)),M70))*100&lt;22600)),"Проверьте цену товара. Большинство товаров в выбранной категории стоят дороже 226",""))))),"")</f>
      </c>
    </row>
    <row r="71">
      <c r="A71" s="2" t="inlineStr">
        <is>
          <t>VitalEmb</t>
        </is>
      </c>
      <c r="B71" s="2" t="inlineStr">
        <is>
          <t>Декор для одежды</t>
        </is>
      </c>
      <c r="C71" s="2">
        <v>709463730</v>
      </c>
      <c r="D71" s="2" t="inlineStr">
        <is>
          <t>bplapict0023</t>
        </is>
      </c>
      <c r="E71" s="2" t="inlineStr">
        <is>
          <t>2047919679796</t>
        </is>
      </c>
      <c r="F71" s="2">
        <v>16</v>
      </c>
      <c r="G71" s="2">
        <v>0</v>
      </c>
      <c r="H71" s="2">
        <v>9</v>
      </c>
      <c r="I71" s="2" t="inlineStr">
        <is>
          <t>1100</t>
        </is>
      </c>
      <c r="J71" s="4"/>
      <c r="K71" s="2">
        <v>53</v>
      </c>
      <c r="L71" s="6"/>
      <c r="M71" s="2" t="str">
        <f>IF(J71="",ROUND(I71*(1-IF(ISBLANK(L71),K71,L71)/100),2),ROUND(J71*(1-IF(ISBLANK(L71),K71,L71)/100),2))</f>
      </c>
      <c r="N71" s="7" t="str">
        <f>IF(NOT(AND(J71="",L71="")),IF(OR(AND(L71&lt;&gt;"",NOT(ISNUMBER(L71))),IFERROR(MOD(L71,1),1)&gt;0,AND(ISNUMBER(L71),OR(L71&lt;0,L71&gt;95))),"Введите целое число от 0 до 95",IF(OR(AND(J71&lt;&gt;"",NOT(ISNUMBER(J71))),IFERROR(MOD(J71,1),1)&gt;0,AND(ISNUMBER(J71),OR(J71&lt;50,J71&gt;20000000))),"Введите целое число от 50 до 20000000",IF(NOT(ABS(IFERROR(VALUE(LEFT(M71,FIND("-",M71)-1)),M71)*100-(2500+2000000000)/2)&lt;=ABS(2500-2000000000)/2),"Цена со скидкой должна быть от 25 до 20000000",IF(IFERROR(VALUE(LEFT(M71,FIND("-",M71)-1)),M71)*229&lt;51700,"Вы уменьшили цену в несколько раз, товар попадет в карантин цен",IF(AND(IFERROR(VALUE(I71),0)=0,ISNUMBER(J71),OR(J71&lt;226,ABS(IFERROR(VALUE(LEFT(M71,FIND("-",M71)-1)),M71))*100&lt;22600)),"Проверьте цену товара. Большинство товаров в выбранной категории стоят дороже 226",""))))),"")</f>
      </c>
    </row>
    <row r="72">
      <c r="A72" s="2" t="inlineStr">
        <is>
          <t>VitalEmb</t>
        </is>
      </c>
      <c r="B72" s="2" t="inlineStr">
        <is>
          <t>Декор для одежды</t>
        </is>
      </c>
      <c r="C72" s="2">
        <v>679503889</v>
      </c>
      <c r="D72" s="2" t="inlineStr">
        <is>
          <t>razpict0028</t>
        </is>
      </c>
      <c r="E72" s="2" t="inlineStr">
        <is>
          <t>2047675951341</t>
        </is>
      </c>
      <c r="F72" s="2">
        <v>14</v>
      </c>
      <c r="G72" s="2">
        <v>0</v>
      </c>
      <c r="H72" s="2">
        <v>999</v>
      </c>
      <c r="I72" s="2" t="inlineStr">
        <is>
          <t>1100</t>
        </is>
      </c>
      <c r="J72" s="4"/>
      <c r="K72" s="2">
        <v>57</v>
      </c>
      <c r="L72" s="6"/>
      <c r="M72" s="2" t="str">
        <f>IF(J72="",ROUND(I72*(1-IF(ISBLANK(L72),K72,L72)/100),2),ROUND(J72*(1-IF(ISBLANK(L72),K72,L72)/100),2))</f>
      </c>
      <c r="N72" s="7" t="str">
        <f>IF(NOT(AND(J72="",L72="")),IF(OR(AND(L72&lt;&gt;"",NOT(ISNUMBER(L72))),IFERROR(MOD(L72,1),1)&gt;0,AND(ISNUMBER(L72),OR(L72&lt;0,L72&gt;95))),"Введите целое число от 0 до 95",IF(OR(AND(J72&lt;&gt;"",NOT(ISNUMBER(J72))),IFERROR(MOD(J72,1),1)&gt;0,AND(ISNUMBER(J72),OR(J72&lt;50,J72&gt;20000000))),"Введите целое число от 50 до 20000000",IF(NOT(ABS(IFERROR(VALUE(LEFT(M72,FIND("-",M72)-1)),M72)*100-(2500+2000000000)/2)&lt;=ABS(2500-2000000000)/2),"Цена со скидкой должна быть от 25 до 20000000",IF(IFERROR(VALUE(LEFT(M72,FIND("-",M72)-1)),M72)*229&lt;47300,"Вы уменьшили цену в несколько раз, товар попадет в карантин цен",IF(AND(IFERROR(VALUE(I72),0)=0,ISNUMBER(J72),OR(J72&lt;226,ABS(IFERROR(VALUE(LEFT(M72,FIND("-",M72)-1)),M72))*100&lt;22600)),"Проверьте цену товара. Большинство товаров в выбранной категории стоят дороже 226",""))))),"")</f>
      </c>
    </row>
    <row r="73">
      <c r="A73" s="2" t="inlineStr">
        <is>
          <t>VitalEmb</t>
        </is>
      </c>
      <c r="B73" s="2" t="inlineStr">
        <is>
          <t>Декор для одежды</t>
        </is>
      </c>
      <c r="C73" s="2">
        <v>679492499</v>
      </c>
      <c r="D73" s="2" t="inlineStr">
        <is>
          <t>razpict0024</t>
        </is>
      </c>
      <c r="E73" s="2" t="inlineStr">
        <is>
          <t>2047675802889</t>
        </is>
      </c>
      <c r="F73" s="2">
        <v>15</v>
      </c>
      <c r="G73" s="2">
        <v>0</v>
      </c>
      <c r="H73" s="2">
        <v>999</v>
      </c>
      <c r="I73" s="2" t="inlineStr">
        <is>
          <t>1100</t>
        </is>
      </c>
      <c r="J73" s="4"/>
      <c r="K73" s="2">
        <v>57</v>
      </c>
      <c r="L73" s="6"/>
      <c r="M73" s="2" t="str">
        <f>IF(J73="",ROUND(I73*(1-IF(ISBLANK(L73),K73,L73)/100),2),ROUND(J73*(1-IF(ISBLANK(L73),K73,L73)/100),2))</f>
      </c>
      <c r="N73" s="7" t="str">
        <f>IF(NOT(AND(J73="",L73="")),IF(OR(AND(L73&lt;&gt;"",NOT(ISNUMBER(L73))),IFERROR(MOD(L73,1),1)&gt;0,AND(ISNUMBER(L73),OR(L73&lt;0,L73&gt;95))),"Введите целое число от 0 до 95",IF(OR(AND(J73&lt;&gt;"",NOT(ISNUMBER(J73))),IFERROR(MOD(J73,1),1)&gt;0,AND(ISNUMBER(J73),OR(J73&lt;50,J73&gt;20000000))),"Введите целое число от 50 до 20000000",IF(NOT(ABS(IFERROR(VALUE(LEFT(M73,FIND("-",M73)-1)),M73)*100-(2500+2000000000)/2)&lt;=ABS(2500-2000000000)/2),"Цена со скидкой должна быть от 25 до 20000000",IF(IFERROR(VALUE(LEFT(M73,FIND("-",M73)-1)),M73)*229&lt;47300,"Вы уменьшили цену в несколько раз, товар попадет в карантин цен",IF(AND(IFERROR(VALUE(I73),0)=0,ISNUMBER(J73),OR(J73&lt;226,ABS(IFERROR(VALUE(LEFT(M73,FIND("-",M73)-1)),M73))*100&lt;22600)),"Проверьте цену товара. Большинство товаров в выбранной категории стоят дороже 226",""))))),"")</f>
      </c>
    </row>
    <row r="74">
      <c r="A74" s="2" t="inlineStr">
        <is>
          <t>VitalEmb</t>
        </is>
      </c>
      <c r="B74" s="2" t="inlineStr">
        <is>
          <t>Декор для одежды</t>
        </is>
      </c>
      <c r="C74" s="2">
        <v>655602685</v>
      </c>
      <c r="D74" s="2" t="inlineStr">
        <is>
          <t>priktext0002_222140</t>
        </is>
      </c>
      <c r="E74" s="2" t="inlineStr">
        <is>
          <t>2047518564721</t>
        </is>
      </c>
      <c r="F74" s="2">
        <v>8</v>
      </c>
      <c r="G74" s="2">
        <v>0</v>
      </c>
      <c r="H74" s="2">
        <v>999</v>
      </c>
      <c r="I74" s="2" t="inlineStr">
        <is>
          <t>1100</t>
        </is>
      </c>
      <c r="J74" s="4"/>
      <c r="K74" s="2">
        <v>53</v>
      </c>
      <c r="L74" s="6"/>
      <c r="M74" s="2" t="str">
        <f>IF(J74="",ROUND(I74*(1-IF(ISBLANK(L74),K74,L74)/100),2),ROUND(J74*(1-IF(ISBLANK(L74),K74,L74)/100),2))</f>
      </c>
      <c r="N74" s="7" t="str">
        <f>IF(NOT(AND(J74="",L74="")),IF(OR(AND(L74&lt;&gt;"",NOT(ISNUMBER(L74))),IFERROR(MOD(L74,1),1)&gt;0,AND(ISNUMBER(L74),OR(L74&lt;0,L74&gt;95))),"Введите целое число от 0 до 95",IF(OR(AND(J74&lt;&gt;"",NOT(ISNUMBER(J74))),IFERROR(MOD(J74,1),1)&gt;0,AND(ISNUMBER(J74),OR(J74&lt;50,J74&gt;20000000))),"Введите целое число от 50 до 20000000",IF(NOT(ABS(IFERROR(VALUE(LEFT(M74,FIND("-",M74)-1)),M74)*100-(2500+2000000000)/2)&lt;=ABS(2500-2000000000)/2),"Цена со скидкой должна быть от 25 до 20000000",IF(IFERROR(VALUE(LEFT(M74,FIND("-",M74)-1)),M74)*229&lt;51700,"Вы уменьшили цену в несколько раз, товар попадет в карантин цен",IF(AND(IFERROR(VALUE(I74),0)=0,ISNUMBER(J74),OR(J74&lt;226,ABS(IFERROR(VALUE(LEFT(M74,FIND("-",M74)-1)),M74))*100&lt;22600)),"Проверьте цену товара. Большинство товаров в выбранной категории стоят дороже 226",""))))),"")</f>
      </c>
    </row>
    <row r="75">
      <c r="A75" s="2" t="inlineStr">
        <is>
          <t>VitalEmb</t>
        </is>
      </c>
      <c r="B75" s="2" t="inlineStr">
        <is>
          <t>Декор для одежды</t>
        </is>
      </c>
      <c r="C75" s="2">
        <v>591228054</v>
      </c>
      <c r="D75" s="2" t="inlineStr">
        <is>
          <t>prong0001_form0047_222666</t>
        </is>
      </c>
      <c r="E75" s="2" t="inlineStr">
        <is>
          <t>2047031387371</t>
        </is>
      </c>
      <c r="F75" s="2">
        <v>20</v>
      </c>
      <c r="G75" s="2">
        <v>0</v>
      </c>
      <c r="H75" s="2">
        <v>999</v>
      </c>
      <c r="I75" s="2" t="inlineStr">
        <is>
          <t>1100</t>
        </is>
      </c>
      <c r="J75" s="4"/>
      <c r="K75" s="2">
        <v>65</v>
      </c>
      <c r="L75" s="6"/>
      <c r="M75" s="2" t="str">
        <f>IF(J75="",ROUND(I75*(1-IF(ISBLANK(L75),K75,L75)/100),2),ROUND(J75*(1-IF(ISBLANK(L75),K75,L75)/100),2))</f>
      </c>
      <c r="N75" s="7" t="str">
        <f>IF(NOT(AND(J75="",L75="")),IF(OR(AND(L75&lt;&gt;"",NOT(ISNUMBER(L75))),IFERROR(MOD(L75,1),1)&gt;0,AND(ISNUMBER(L75),OR(L75&lt;0,L75&gt;95))),"Введите целое число от 0 до 95",IF(OR(AND(J75&lt;&gt;"",NOT(ISNUMBER(J75))),IFERROR(MOD(J75,1),1)&gt;0,AND(ISNUMBER(J75),OR(J75&lt;50,J75&gt;20000000))),"Введите целое число от 50 до 20000000",IF(NOT(ABS(IFERROR(VALUE(LEFT(M75,FIND("-",M75)-1)),M75)*100-(2500+2000000000)/2)&lt;=ABS(2500-2000000000)/2),"Цена со скидкой должна быть от 25 до 20000000",IF(IFERROR(VALUE(LEFT(M75,FIND("-",M75)-1)),M75)*229&lt;38500,"Вы уменьшили цену в несколько раз, товар попадет в карантин цен",IF(AND(IFERROR(VALUE(I75),0)=0,ISNUMBER(J75),OR(J75&lt;226,ABS(IFERROR(VALUE(LEFT(M75,FIND("-",M75)-1)),M75))*100&lt;22600)),"Проверьте цену товара. Большинство товаров в выбранной категории стоят дороже 226",""))))),"")</f>
      </c>
    </row>
    <row r="76">
      <c r="A76" s="2" t="inlineStr">
        <is>
          <t>VitalEmb</t>
        </is>
      </c>
      <c r="B76" s="2" t="inlineStr">
        <is>
          <t>Декор для одежды</t>
        </is>
      </c>
      <c r="C76" s="2">
        <v>655791244</v>
      </c>
      <c r="D76" s="2" t="inlineStr">
        <is>
          <t>rosgkit20001_222501</t>
        </is>
      </c>
      <c r="E76" s="2" t="inlineStr">
        <is>
          <t>2047519177807</t>
        </is>
      </c>
      <c r="F76" s="2">
        <v>14</v>
      </c>
      <c r="G76" s="2">
        <v>0</v>
      </c>
      <c r="H76" s="2">
        <v>999</v>
      </c>
      <c r="I76" s="2" t="inlineStr">
        <is>
          <t>2000</t>
        </is>
      </c>
      <c r="J76" s="4"/>
      <c r="K76" s="2">
        <v>53</v>
      </c>
      <c r="L76" s="6"/>
      <c r="M76" s="2" t="str">
        <f>IF(J76="",ROUND(I76*(1-IF(ISBLANK(L76),K76,L76)/100),2),ROUND(J76*(1-IF(ISBLANK(L76),K76,L76)/100),2))</f>
      </c>
      <c r="N76" s="7" t="str">
        <f>IF(NOT(AND(J76="",L76="")),IF(OR(AND(L76&lt;&gt;"",NOT(ISNUMBER(L76))),IFERROR(MOD(L76,1),1)&gt;0,AND(ISNUMBER(L76),OR(L76&lt;0,L76&gt;95))),"Введите целое число от 0 до 95",IF(OR(AND(J76&lt;&gt;"",NOT(ISNUMBER(J76))),IFERROR(MOD(J76,1),1)&gt;0,AND(ISNUMBER(J76),OR(J76&lt;50,J76&gt;20000000))),"Введите целое число от 50 до 20000000",IF(NOT(ABS(IFERROR(VALUE(LEFT(M76,FIND("-",M76)-1)),M76)*100-(2500+2000000000)/2)&lt;=ABS(2500-2000000000)/2),"Цена со скидкой должна быть от 25 до 20000000",IF(IFERROR(VALUE(LEFT(M76,FIND("-",M76)-1)),M76)*229&lt;94000,"Вы уменьшили цену в несколько раз, товар попадет в карантин цен",IF(AND(IFERROR(VALUE(I76),0)=0,ISNUMBER(J76),OR(J76&lt;226,ABS(IFERROR(VALUE(LEFT(M76,FIND("-",M76)-1)),M76))*100&lt;22600)),"Проверьте цену товара. Большинство товаров в выбранной категории стоят дороже 226",""))))),"")</f>
      </c>
    </row>
    <row r="77">
      <c r="A77" s="2" t="inlineStr">
        <is>
          <t>VitalEmb</t>
        </is>
      </c>
      <c r="B77" s="2" t="inlineStr">
        <is>
          <t>Декор для одежды</t>
        </is>
      </c>
      <c r="C77" s="2">
        <v>719729537</v>
      </c>
      <c r="D77" s="2" t="inlineStr">
        <is>
          <t>shtpict0017</t>
        </is>
      </c>
      <c r="E77" s="2" t="inlineStr">
        <is>
          <t>2047991591061</t>
        </is>
      </c>
      <c r="F77" s="2">
        <v>6</v>
      </c>
      <c r="G77" s="2">
        <v>0</v>
      </c>
      <c r="H77" s="2">
        <v>999</v>
      </c>
      <c r="I77" s="2" t="inlineStr">
        <is>
          <t>1100</t>
        </is>
      </c>
      <c r="J77" s="4"/>
      <c r="K77" s="2">
        <v>57</v>
      </c>
      <c r="L77" s="6"/>
      <c r="M77" s="2" t="str">
        <f>IF(J77="",ROUND(I77*(1-IF(ISBLANK(L77),K77,L77)/100),2),ROUND(J77*(1-IF(ISBLANK(L77),K77,L77)/100),2))</f>
      </c>
      <c r="N77" s="7" t="str">
        <f>IF(NOT(AND(J77="",L77="")),IF(OR(AND(L77&lt;&gt;"",NOT(ISNUMBER(L77))),IFERROR(MOD(L77,1),1)&gt;0,AND(ISNUMBER(L77),OR(L77&lt;0,L77&gt;95))),"Введите целое число от 0 до 95",IF(OR(AND(J77&lt;&gt;"",NOT(ISNUMBER(J77))),IFERROR(MOD(J77,1),1)&gt;0,AND(ISNUMBER(J77),OR(J77&lt;50,J77&gt;20000000))),"Введите целое число от 50 до 20000000",IF(NOT(ABS(IFERROR(VALUE(LEFT(M77,FIND("-",M77)-1)),M77)*100-(2500+2000000000)/2)&lt;=ABS(2500-2000000000)/2),"Цена со скидкой должна быть от 25 до 20000000",IF(IFERROR(VALUE(LEFT(M77,FIND("-",M77)-1)),M77)*229&lt;47300,"Вы уменьшили цену в несколько раз, товар попадет в карантин цен",IF(AND(IFERROR(VALUE(I77),0)=0,ISNUMBER(J77),OR(J77&lt;226,ABS(IFERROR(VALUE(LEFT(M77,FIND("-",M77)-1)),M77))*100&lt;22600)),"Проверьте цену товара. Большинство товаров в выбранной категории стоят дороже 226",""))))),"")</f>
      </c>
    </row>
    <row r="78">
      <c r="A78" s="2" t="inlineStr">
        <is>
          <t>VitalEmb</t>
        </is>
      </c>
      <c r="B78" s="2" t="inlineStr">
        <is>
          <t>Декор для одежды</t>
        </is>
      </c>
      <c r="C78" s="2">
        <v>588988020</v>
      </c>
      <c r="D78" s="2" t="inlineStr">
        <is>
          <t>brignr0002_text0006_222612</t>
        </is>
      </c>
      <c r="E78" s="2" t="inlineStr">
        <is>
          <t>2047011833157</t>
        </is>
      </c>
      <c r="F78" s="2">
        <v>18</v>
      </c>
      <c r="G78" s="2">
        <v>0</v>
      </c>
      <c r="H78" s="2">
        <v>999</v>
      </c>
      <c r="I78" s="2" t="inlineStr">
        <is>
          <t>1100</t>
        </is>
      </c>
      <c r="J78" s="4"/>
      <c r="K78" s="2">
        <v>60</v>
      </c>
      <c r="L78" s="6"/>
      <c r="M78" s="2" t="str">
        <f>IF(J78="",ROUND(I78*(1-IF(ISBLANK(L78),K78,L78)/100),2),ROUND(J78*(1-IF(ISBLANK(L78),K78,L78)/100),2))</f>
      </c>
      <c r="N78" s="7" t="str">
        <f>IF(NOT(AND(J78="",L78="")),IF(OR(AND(L78&lt;&gt;"",NOT(ISNUMBER(L78))),IFERROR(MOD(L78,1),1)&gt;0,AND(ISNUMBER(L78),OR(L78&lt;0,L78&gt;95))),"Введите целое число от 0 до 95",IF(OR(AND(J78&lt;&gt;"",NOT(ISNUMBER(J78))),IFERROR(MOD(J78,1),1)&gt;0,AND(ISNUMBER(J78),OR(J78&lt;50,J78&gt;20000000))),"Введите целое число от 50 до 20000000",IF(NOT(ABS(IFERROR(VALUE(LEFT(M78,FIND("-",M78)-1)),M78)*100-(2500+2000000000)/2)&lt;=ABS(2500-2000000000)/2),"Цена со скидкой должна быть от 25 до 20000000",IF(IFERROR(VALUE(LEFT(M78,FIND("-",M78)-1)),M78)*229&lt;44000,"Вы уменьшили цену в несколько раз, товар попадет в карантин цен",IF(AND(IFERROR(VALUE(I78),0)=0,ISNUMBER(J78),OR(J78&lt;226,ABS(IFERROR(VALUE(LEFT(M78,FIND("-",M78)-1)),M78))*100&lt;22600)),"Проверьте цену товара. Большинство товаров в выбранной категории стоят дороже 226",""))))),"")</f>
      </c>
    </row>
    <row r="79">
      <c r="A79" s="2" t="inlineStr">
        <is>
          <t>VitalEmb</t>
        </is>
      </c>
      <c r="B79" s="2" t="inlineStr">
        <is>
          <t>Декор для одежды</t>
        </is>
      </c>
      <c r="C79" s="2">
        <v>595812742</v>
      </c>
      <c r="D79" s="2" t="inlineStr">
        <is>
          <t>brignr0001_223017</t>
        </is>
      </c>
      <c r="E79" s="2" t="inlineStr">
        <is>
          <t>2047075798652</t>
        </is>
      </c>
      <c r="F79" s="2">
        <v>12</v>
      </c>
      <c r="G79" s="2">
        <v>0</v>
      </c>
      <c r="H79" s="2">
        <v>999</v>
      </c>
      <c r="I79" s="2" t="inlineStr">
        <is>
          <t>1100</t>
        </is>
      </c>
      <c r="J79" s="4"/>
      <c r="K79" s="2">
        <v>52</v>
      </c>
      <c r="L79" s="6"/>
      <c r="M79" s="2" t="str">
        <f>IF(J79="",ROUND(I79*(1-IF(ISBLANK(L79),K79,L79)/100),2),ROUND(J79*(1-IF(ISBLANK(L79),K79,L79)/100),2))</f>
      </c>
      <c r="N79" s="7" t="str">
        <f>IF(NOT(AND(J79="",L79="")),IF(OR(AND(L79&lt;&gt;"",NOT(ISNUMBER(L79))),IFERROR(MOD(L79,1),1)&gt;0,AND(ISNUMBER(L79),OR(L79&lt;0,L79&gt;95))),"Введите целое число от 0 до 95",IF(OR(AND(J79&lt;&gt;"",NOT(ISNUMBER(J79))),IFERROR(MOD(J79,1),1)&gt;0,AND(ISNUMBER(J79),OR(J79&lt;50,J79&gt;20000000))),"Введите целое число от 50 до 20000000",IF(NOT(ABS(IFERROR(VALUE(LEFT(M79,FIND("-",M79)-1)),M79)*100-(2500+2000000000)/2)&lt;=ABS(2500-2000000000)/2),"Цена со скидкой должна быть от 25 до 20000000",IF(IFERROR(VALUE(LEFT(M79,FIND("-",M79)-1)),M79)*229&lt;52800,"Вы уменьшили цену в несколько раз, товар попадет в карантин цен",IF(AND(IFERROR(VALUE(I79),0)=0,ISNUMBER(J79),OR(J79&lt;226,ABS(IFERROR(VALUE(LEFT(M79,FIND("-",M79)-1)),M79))*100&lt;22600)),"Проверьте цену товара. Большинство товаров в выбранной категории стоят дороже 226",""))))),"")</f>
      </c>
    </row>
    <row r="80">
      <c r="A80" s="2" t="inlineStr">
        <is>
          <t>VitalEmb</t>
        </is>
      </c>
      <c r="B80" s="2" t="inlineStr">
        <is>
          <t>Декор для одежды</t>
        </is>
      </c>
      <c r="C80" s="2">
        <v>613139687</v>
      </c>
      <c r="D80" s="2" t="inlineStr">
        <is>
          <t>oopict0016_pict0002_2</t>
        </is>
      </c>
      <c r="E80" s="2" t="inlineStr">
        <is>
          <t>2047258218793</t>
        </is>
      </c>
      <c r="F80" s="2">
        <v>14</v>
      </c>
      <c r="G80" s="2">
        <v>0</v>
      </c>
      <c r="H80" s="2">
        <v>999</v>
      </c>
      <c r="I80" s="2" t="inlineStr">
        <is>
          <t>1100</t>
        </is>
      </c>
      <c r="J80" s="4"/>
      <c r="K80" s="2">
        <v>62</v>
      </c>
      <c r="L80" s="6"/>
      <c r="M80" s="2" t="str">
        <f>IF(J80="",ROUND(I80*(1-IF(ISBLANK(L80),K80,L80)/100),2),ROUND(J80*(1-IF(ISBLANK(L80),K80,L80)/100),2))</f>
      </c>
      <c r="N80" s="7" t="str">
        <f>IF(NOT(AND(J80="",L80="")),IF(OR(AND(L80&lt;&gt;"",NOT(ISNUMBER(L80))),IFERROR(MOD(L80,1),1)&gt;0,AND(ISNUMBER(L80),OR(L80&lt;0,L80&gt;95))),"Введите целое число от 0 до 95",IF(OR(AND(J80&lt;&gt;"",NOT(ISNUMBER(J80))),IFERROR(MOD(J80,1),1)&gt;0,AND(ISNUMBER(J80),OR(J80&lt;50,J80&gt;20000000))),"Введите целое число от 50 до 20000000",IF(NOT(ABS(IFERROR(VALUE(LEFT(M80,FIND("-",M80)-1)),M80)*100-(2500+2000000000)/2)&lt;=ABS(2500-2000000000)/2),"Цена со скидкой должна быть от 25 до 20000000",IF(IFERROR(VALUE(LEFT(M80,FIND("-",M80)-1)),M80)*229&lt;41800,"Вы уменьшили цену в несколько раз, товар попадет в карантин цен",IF(AND(IFERROR(VALUE(I80),0)=0,ISNUMBER(J80),OR(J80&lt;226,ABS(IFERROR(VALUE(LEFT(M80,FIND("-",M80)-1)),M80))*100&lt;22600)),"Проверьте цену товара. Большинство товаров в выбранной категории стоят дороже 226",""))))),"")</f>
      </c>
    </row>
    <row r="81">
      <c r="A81" s="2" t="inlineStr">
        <is>
          <t>VitalEmb</t>
        </is>
      </c>
      <c r="B81" s="2" t="inlineStr">
        <is>
          <t>Декор для одежды</t>
        </is>
      </c>
      <c r="C81" s="2">
        <v>591256259</v>
      </c>
      <c r="D81" s="2" t="inlineStr">
        <is>
          <t>slkmng0001_form0004_222506</t>
        </is>
      </c>
      <c r="E81" s="2" t="inlineStr">
        <is>
          <t>2047031707735</t>
        </is>
      </c>
      <c r="F81" s="2">
        <v>5</v>
      </c>
      <c r="G81" s="2">
        <v>0</v>
      </c>
      <c r="H81" s="2">
        <v>32</v>
      </c>
      <c r="I81" s="2" t="inlineStr">
        <is>
          <t>1100</t>
        </is>
      </c>
      <c r="J81" s="4"/>
      <c r="K81" s="2">
        <v>60</v>
      </c>
      <c r="L81" s="6"/>
      <c r="M81" s="2" t="str">
        <f>IF(J81="",ROUND(I81*(1-IF(ISBLANK(L81),K81,L81)/100),2),ROUND(J81*(1-IF(ISBLANK(L81),K81,L81)/100),2))</f>
      </c>
      <c r="N81" s="7" t="str">
        <f>IF(NOT(AND(J81="",L81="")),IF(OR(AND(L81&lt;&gt;"",NOT(ISNUMBER(L81))),IFERROR(MOD(L81,1),1)&gt;0,AND(ISNUMBER(L81),OR(L81&lt;0,L81&gt;95))),"Введите целое число от 0 до 95",IF(OR(AND(J81&lt;&gt;"",NOT(ISNUMBER(J81))),IFERROR(MOD(J81,1),1)&gt;0,AND(ISNUMBER(J81),OR(J81&lt;50,J81&gt;20000000))),"Введите целое число от 50 до 20000000",IF(NOT(ABS(IFERROR(VALUE(LEFT(M81,FIND("-",M81)-1)),M81)*100-(2500+2000000000)/2)&lt;=ABS(2500-2000000000)/2),"Цена со скидкой должна быть от 25 до 20000000",IF(IFERROR(VALUE(LEFT(M81,FIND("-",M81)-1)),M81)*229&lt;44000,"Вы уменьшили цену в несколько раз, товар попадет в карантин цен",IF(AND(IFERROR(VALUE(I81),0)=0,ISNUMBER(J81),OR(J81&lt;226,ABS(IFERROR(VALUE(LEFT(M81,FIND("-",M81)-1)),M81))*100&lt;22600)),"Проверьте цену товара. Большинство товаров в выбранной категории стоят дороже 226",""))))),"")</f>
      </c>
    </row>
    <row r="82">
      <c r="A82" s="2" t="inlineStr">
        <is>
          <t>VitalEmb</t>
        </is>
      </c>
      <c r="B82" s="2" t="inlineStr">
        <is>
          <t>Декор для одежды</t>
        </is>
      </c>
      <c r="C82" s="2">
        <v>593337621</v>
      </c>
      <c r="D82" s="2" t="inlineStr">
        <is>
          <t>pzkit2mh0007_pzmh0025</t>
        </is>
      </c>
      <c r="E82" s="2" t="inlineStr">
        <is>
          <t>2047049575906</t>
        </is>
      </c>
      <c r="F82" s="2">
        <v>12</v>
      </c>
      <c r="G82" s="2">
        <v>0</v>
      </c>
      <c r="H82" s="2">
        <v>12</v>
      </c>
      <c r="I82" s="2" t="inlineStr">
        <is>
          <t>2000</t>
        </is>
      </c>
      <c r="J82" s="4"/>
      <c r="K82" s="2">
        <v>63</v>
      </c>
      <c r="L82" s="6"/>
      <c r="M82" s="2" t="str">
        <f>IF(J82="",ROUND(I82*(1-IF(ISBLANK(L82),K82,L82)/100),2),ROUND(J82*(1-IF(ISBLANK(L82),K82,L82)/100),2))</f>
      </c>
      <c r="N82" s="7" t="str">
        <f>IF(NOT(AND(J82="",L82="")),IF(OR(AND(L82&lt;&gt;"",NOT(ISNUMBER(L82))),IFERROR(MOD(L82,1),1)&gt;0,AND(ISNUMBER(L82),OR(L82&lt;0,L82&gt;95))),"Введите целое число от 0 до 95",IF(OR(AND(J82&lt;&gt;"",NOT(ISNUMBER(J82))),IFERROR(MOD(J82,1),1)&gt;0,AND(ISNUMBER(J82),OR(J82&lt;50,J82&gt;20000000))),"Введите целое число от 50 до 20000000",IF(NOT(ABS(IFERROR(VALUE(LEFT(M82,FIND("-",M82)-1)),M82)*100-(2500+2000000000)/2)&lt;=ABS(2500-2000000000)/2),"Цена со скидкой должна быть от 25 до 20000000",IF(IFERROR(VALUE(LEFT(M82,FIND("-",M82)-1)),M82)*229&lt;74000,"Вы уменьшили цену в несколько раз, товар попадет в карантин цен",IF(AND(IFERROR(VALUE(I82),0)=0,ISNUMBER(J82),OR(J82&lt;226,ABS(IFERROR(VALUE(LEFT(M82,FIND("-",M82)-1)),M82))*100&lt;22600)),"Проверьте цену товара. Большинство товаров в выбранной категории стоят дороже 226",""))))),"")</f>
      </c>
    </row>
    <row r="83">
      <c r="A83" s="2" t="inlineStr">
        <is>
          <t>VitalEmb</t>
        </is>
      </c>
      <c r="B83" s="2" t="inlineStr">
        <is>
          <t>Декор для одежды</t>
        </is>
      </c>
      <c r="C83" s="2">
        <v>593388790</v>
      </c>
      <c r="D83" s="2" t="inlineStr">
        <is>
          <t>fsbloop0001_loop0001_222026</t>
        </is>
      </c>
      <c r="E83" s="2" t="inlineStr">
        <is>
          <t>2047050303987</t>
        </is>
      </c>
      <c r="F83" s="2">
        <v>30</v>
      </c>
      <c r="G83" s="2">
        <v>0</v>
      </c>
      <c r="H83" s="2">
        <v>7</v>
      </c>
      <c r="I83" s="2" t="inlineStr">
        <is>
          <t>1000</t>
        </is>
      </c>
      <c r="J83" s="4"/>
      <c r="K83" s="2">
        <v>65</v>
      </c>
      <c r="L83" s="6"/>
      <c r="M83" s="2" t="str">
        <f>IF(J83="",ROUND(I83*(1-IF(ISBLANK(L83),K83,L83)/100),2),ROUND(J83*(1-IF(ISBLANK(L83),K83,L83)/100),2))</f>
      </c>
      <c r="N83" s="7" t="str">
        <f>IF(NOT(AND(J83="",L83="")),IF(OR(AND(L83&lt;&gt;"",NOT(ISNUMBER(L83))),IFERROR(MOD(L83,1),1)&gt;0,AND(ISNUMBER(L83),OR(L83&lt;0,L83&gt;95))),"Введите целое число от 0 до 95",IF(OR(AND(J83&lt;&gt;"",NOT(ISNUMBER(J83))),IFERROR(MOD(J83,1),1)&gt;0,AND(ISNUMBER(J83),OR(J83&lt;50,J83&gt;20000000))),"Введите целое число от 50 до 20000000",IF(NOT(ABS(IFERROR(VALUE(LEFT(M83,FIND("-",M83)-1)),M83)*100-(2500+2000000000)/2)&lt;=ABS(2500-2000000000)/2),"Цена со скидкой должна быть от 25 до 20000000",IF(IFERROR(VALUE(LEFT(M83,FIND("-",M83)-1)),M83)*229&lt;35000,"Вы уменьшили цену в несколько раз, товар попадет в карантин цен",IF(AND(IFERROR(VALUE(I83),0)=0,ISNUMBER(J83),OR(J83&lt;226,ABS(IFERROR(VALUE(LEFT(M83,FIND("-",M83)-1)),M83))*100&lt;22600)),"Проверьте цену товара. Большинство товаров в выбранной категории стоят дороже 226",""))))),"")</f>
      </c>
    </row>
    <row r="84">
      <c r="A84" s="2" t="inlineStr">
        <is>
          <t>VitalEmb</t>
        </is>
      </c>
      <c r="B84" s="2" t="inlineStr">
        <is>
          <t>Декор для одежды</t>
        </is>
      </c>
      <c r="C84" s="2">
        <v>655955586</v>
      </c>
      <c r="D84" s="2" t="inlineStr">
        <is>
          <t>fsonr0002_222374</t>
        </is>
      </c>
      <c r="E84" s="2" t="inlineStr">
        <is>
          <t>2047519881612</t>
        </is>
      </c>
      <c r="F84" s="2">
        <v>1</v>
      </c>
      <c r="G84" s="2">
        <v>0</v>
      </c>
      <c r="H84" s="2">
        <v>32</v>
      </c>
      <c r="I84" s="2" t="inlineStr">
        <is>
          <t>1100</t>
        </is>
      </c>
      <c r="J84" s="4"/>
      <c r="K84" s="2">
        <v>61</v>
      </c>
      <c r="L84" s="6"/>
      <c r="M84" s="2" t="str">
        <f>IF(J84="",ROUND(I84*(1-IF(ISBLANK(L84),K84,L84)/100),2),ROUND(J84*(1-IF(ISBLANK(L84),K84,L84)/100),2))</f>
      </c>
      <c r="N84" s="7" t="str">
        <f>IF(NOT(AND(J84="",L84="")),IF(OR(AND(L84&lt;&gt;"",NOT(ISNUMBER(L84))),IFERROR(MOD(L84,1),1)&gt;0,AND(ISNUMBER(L84),OR(L84&lt;0,L84&gt;95))),"Введите целое число от 0 до 95",IF(OR(AND(J84&lt;&gt;"",NOT(ISNUMBER(J84))),IFERROR(MOD(J84,1),1)&gt;0,AND(ISNUMBER(J84),OR(J84&lt;50,J84&gt;20000000))),"Введите целое число от 50 до 20000000",IF(NOT(ABS(IFERROR(VALUE(LEFT(M84,FIND("-",M84)-1)),M84)*100-(2500+2000000000)/2)&lt;=ABS(2500-2000000000)/2),"Цена со скидкой должна быть от 25 до 20000000",IF(IFERROR(VALUE(LEFT(M84,FIND("-",M84)-1)),M84)*229&lt;42900,"Вы уменьшили цену в несколько раз, товар попадет в карантин цен",IF(AND(IFERROR(VALUE(I84),0)=0,ISNUMBER(J84),OR(J84&lt;226,ABS(IFERROR(VALUE(LEFT(M84,FIND("-",M84)-1)),M84))*100&lt;22600)),"Проверьте цену товара. Большинство товаров в выбранной категории стоят дороже 226",""))))),"")</f>
      </c>
    </row>
    <row r="85">
      <c r="A85" s="2" t="inlineStr">
        <is>
          <t>VitalEmb</t>
        </is>
      </c>
      <c r="B85" s="2" t="inlineStr">
        <is>
          <t>Декор для одежды</t>
        </is>
      </c>
      <c r="C85" s="2">
        <v>588967653</v>
      </c>
      <c r="D85" s="2" t="inlineStr">
        <is>
          <t>oopict0005_text0001_222094</t>
        </is>
      </c>
      <c r="E85" s="2" t="inlineStr">
        <is>
          <t>2047011621907</t>
        </is>
      </c>
      <c r="F85" s="2">
        <v>31</v>
      </c>
      <c r="G85" s="2">
        <v>0</v>
      </c>
      <c r="H85" s="2">
        <v>999</v>
      </c>
      <c r="I85" s="2" t="inlineStr">
        <is>
          <t>1100</t>
        </is>
      </c>
      <c r="J85" s="4"/>
      <c r="K85" s="2">
        <v>65</v>
      </c>
      <c r="L85" s="6"/>
      <c r="M85" s="2" t="str">
        <f>IF(J85="",ROUND(I85*(1-IF(ISBLANK(L85),K85,L85)/100),2),ROUND(J85*(1-IF(ISBLANK(L85),K85,L85)/100),2))</f>
      </c>
      <c r="N85" s="7" t="str">
        <f>IF(NOT(AND(J85="",L85="")),IF(OR(AND(L85&lt;&gt;"",NOT(ISNUMBER(L85))),IFERROR(MOD(L85,1),1)&gt;0,AND(ISNUMBER(L85),OR(L85&lt;0,L85&gt;95))),"Введите целое число от 0 до 95",IF(OR(AND(J85&lt;&gt;"",NOT(ISNUMBER(J85))),IFERROR(MOD(J85,1),1)&gt;0,AND(ISNUMBER(J85),OR(J85&lt;50,J85&gt;20000000))),"Введите целое число от 50 до 20000000",IF(NOT(ABS(IFERROR(VALUE(LEFT(M85,FIND("-",M85)-1)),M85)*100-(2500+2000000000)/2)&lt;=ABS(2500-2000000000)/2),"Цена со скидкой должна быть от 25 до 20000000",IF(IFERROR(VALUE(LEFT(M85,FIND("-",M85)-1)),M85)*229&lt;38500,"Вы уменьшили цену в несколько раз, товар попадет в карантин цен",IF(AND(IFERROR(VALUE(I85),0)=0,ISNUMBER(J85),OR(J85&lt;226,ABS(IFERROR(VALUE(LEFT(M85,FIND("-",M85)-1)),M85))*100&lt;22600)),"Проверьте цену товара. Большинство товаров в выбранной категории стоят дороже 226",""))))),"")</f>
      </c>
    </row>
    <row r="86">
      <c r="A86" s="2" t="inlineStr">
        <is>
          <t>VitalEmb</t>
        </is>
      </c>
      <c r="B86" s="2" t="inlineStr">
        <is>
          <t>Декор для одежды</t>
        </is>
      </c>
      <c r="C86" s="2">
        <v>713983914</v>
      </c>
      <c r="D86" s="2" t="inlineStr">
        <is>
          <t>bplapict0024</t>
        </is>
      </c>
      <c r="E86" s="2" t="inlineStr">
        <is>
          <t>2047960614517</t>
        </is>
      </c>
      <c r="F86" s="2">
        <v>19</v>
      </c>
      <c r="G86" s="2">
        <v>0</v>
      </c>
      <c r="H86" s="2">
        <v>5</v>
      </c>
      <c r="I86" s="2" t="inlineStr">
        <is>
          <t>1100</t>
        </is>
      </c>
      <c r="J86" s="4"/>
      <c r="K86" s="2">
        <v>61</v>
      </c>
      <c r="L86" s="6"/>
      <c r="M86" s="2" t="str">
        <f>IF(J86="",ROUND(I86*(1-IF(ISBLANK(L86),K86,L86)/100),2),ROUND(J86*(1-IF(ISBLANK(L86),K86,L86)/100),2))</f>
      </c>
      <c r="N86" s="7" t="str">
        <f>IF(NOT(AND(J86="",L86="")),IF(OR(AND(L86&lt;&gt;"",NOT(ISNUMBER(L86))),IFERROR(MOD(L86,1),1)&gt;0,AND(ISNUMBER(L86),OR(L86&lt;0,L86&gt;95))),"Введите целое число от 0 до 95",IF(OR(AND(J86&lt;&gt;"",NOT(ISNUMBER(J86))),IFERROR(MOD(J86,1),1)&gt;0,AND(ISNUMBER(J86),OR(J86&lt;50,J86&gt;20000000))),"Введите целое число от 50 до 20000000",IF(NOT(ABS(IFERROR(VALUE(LEFT(M86,FIND("-",M86)-1)),M86)*100-(2500+2000000000)/2)&lt;=ABS(2500-2000000000)/2),"Цена со скидкой должна быть от 25 до 20000000",IF(IFERROR(VALUE(LEFT(M86,FIND("-",M86)-1)),M86)*229&lt;42900,"Вы уменьшили цену в несколько раз, товар попадет в карантин цен",IF(AND(IFERROR(VALUE(I86),0)=0,ISNUMBER(J86),OR(J86&lt;226,ABS(IFERROR(VALUE(LEFT(M86,FIND("-",M86)-1)),M86))*100&lt;22600)),"Проверьте цену товара. Большинство товаров в выбранной категории стоят дороже 226",""))))),"")</f>
      </c>
    </row>
    <row r="87">
      <c r="A87" s="2" t="inlineStr">
        <is>
          <t>VitalEmb</t>
        </is>
      </c>
      <c r="B87" s="2" t="inlineStr">
        <is>
          <t>Декор для одежды</t>
        </is>
      </c>
      <c r="C87" s="2">
        <v>685220947</v>
      </c>
      <c r="D87" s="2" t="inlineStr">
        <is>
          <t>razpict0031</t>
        </is>
      </c>
      <c r="E87" s="2" t="inlineStr">
        <is>
          <t>2047717641032</t>
        </is>
      </c>
      <c r="F87" s="2">
        <v>16</v>
      </c>
      <c r="G87" s="2">
        <v>0</v>
      </c>
      <c r="H87" s="2">
        <v>999</v>
      </c>
      <c r="I87" s="2" t="inlineStr">
        <is>
          <t>1100</t>
        </is>
      </c>
      <c r="J87" s="4"/>
      <c r="K87" s="2">
        <v>57</v>
      </c>
      <c r="L87" s="6"/>
      <c r="M87" s="2" t="str">
        <f>IF(J87="",ROUND(I87*(1-IF(ISBLANK(L87),K87,L87)/100),2),ROUND(J87*(1-IF(ISBLANK(L87),K87,L87)/100),2))</f>
      </c>
      <c r="N87" s="7" t="str">
        <f>IF(NOT(AND(J87="",L87="")),IF(OR(AND(L87&lt;&gt;"",NOT(ISNUMBER(L87))),IFERROR(MOD(L87,1),1)&gt;0,AND(ISNUMBER(L87),OR(L87&lt;0,L87&gt;95))),"Введите целое число от 0 до 95",IF(OR(AND(J87&lt;&gt;"",NOT(ISNUMBER(J87))),IFERROR(MOD(J87,1),1)&gt;0,AND(ISNUMBER(J87),OR(J87&lt;50,J87&gt;20000000))),"Введите целое число от 50 до 20000000",IF(NOT(ABS(IFERROR(VALUE(LEFT(M87,FIND("-",M87)-1)),M87)*100-(2500+2000000000)/2)&lt;=ABS(2500-2000000000)/2),"Цена со скидкой должна быть от 25 до 20000000",IF(IFERROR(VALUE(LEFT(M87,FIND("-",M87)-1)),M87)*229&lt;47300,"Вы уменьшили цену в несколько раз, товар попадет в карантин цен",IF(AND(IFERROR(VALUE(I87),0)=0,ISNUMBER(J87),OR(J87&lt;226,ABS(IFERROR(VALUE(LEFT(M87,FIND("-",M87)-1)),M87))*100&lt;22600)),"Проверьте цену товара. Большинство товаров в выбранной категории стоят дороже 226",""))))),"")</f>
      </c>
    </row>
    <row r="88">
      <c r="A88" s="2" t="inlineStr">
        <is>
          <t>VitalEmb</t>
        </is>
      </c>
      <c r="B88" s="2" t="inlineStr">
        <is>
          <t>Декор для одежды</t>
        </is>
      </c>
      <c r="C88" s="2">
        <v>656160633</v>
      </c>
      <c r="D88" s="2" t="inlineStr">
        <is>
          <t>fsspnr0001_222092</t>
        </is>
      </c>
      <c r="E88" s="2" t="inlineStr">
        <is>
          <t>2047521003033</t>
        </is>
      </c>
      <c r="F88" s="2" t="inlineStr">
        <is>
          <t/>
        </is>
      </c>
      <c r="G88" s="2" t="inlineStr">
        <is>
          <t/>
        </is>
      </c>
      <c r="H88" s="2" t="inlineStr">
        <is>
          <t/>
        </is>
      </c>
      <c r="I88" s="2" t="inlineStr">
        <is>
          <t>1100</t>
        </is>
      </c>
      <c r="J88" s="4"/>
      <c r="K88" s="2">
        <v>55</v>
      </c>
      <c r="L88" s="6"/>
      <c r="M88" s="2" t="str">
        <f>IF(J88="",ROUND(I88*(1-IF(ISBLANK(L88),K88,L88)/100),2),ROUND(J88*(1-IF(ISBLANK(L88),K88,L88)/100),2))</f>
      </c>
      <c r="N88" s="7" t="str">
        <f>IF(NOT(AND(J88="",L88="")),IF(OR(AND(L88&lt;&gt;"",NOT(ISNUMBER(L88))),IFERROR(MOD(L88,1),1)&gt;0,AND(ISNUMBER(L88),OR(L88&lt;0,L88&gt;95))),"Введите целое число от 0 до 95",IF(OR(AND(J88&lt;&gt;"",NOT(ISNUMBER(J88))),IFERROR(MOD(J88,1),1)&gt;0,AND(ISNUMBER(J88),OR(J88&lt;50,J88&gt;20000000))),"Введите целое число от 50 до 20000000",IF(NOT(ABS(IFERROR(VALUE(LEFT(M88,FIND("-",M88)-1)),M88)*100-(2500+2000000000)/2)&lt;=ABS(2500-2000000000)/2),"Цена со скидкой должна быть от 25 до 20000000",IF(IFERROR(VALUE(LEFT(M88,FIND("-",M88)-1)),M88)*229&lt;49499,"Вы уменьшили цену в несколько раз, товар попадет в карантин цен",IF(AND(IFERROR(VALUE(I88),0)=0,ISNUMBER(J88),OR(J88&lt;226,ABS(IFERROR(VALUE(LEFT(M88,FIND("-",M88)-1)),M88))*100&lt;22600)),"Проверьте цену товара. Большинство товаров в выбранной категории стоят дороже 226",""))))),"")</f>
      </c>
    </row>
    <row r="89">
      <c r="A89" s="2" t="inlineStr">
        <is>
          <t>VitalEmb</t>
        </is>
      </c>
      <c r="B89" s="2" t="inlineStr">
        <is>
          <t>Декор для одежды</t>
        </is>
      </c>
      <c r="C89" s="2">
        <v>600648592</v>
      </c>
      <c r="D89" s="2" t="inlineStr">
        <is>
          <t>bplapict0015_pict0165</t>
        </is>
      </c>
      <c r="E89" s="2" t="inlineStr">
        <is>
          <t>2047129248126</t>
        </is>
      </c>
      <c r="F89" s="2">
        <v>6</v>
      </c>
      <c r="G89" s="2">
        <v>0</v>
      </c>
      <c r="H89" s="2">
        <v>208</v>
      </c>
      <c r="I89" s="2" t="inlineStr">
        <is>
          <t>1100</t>
        </is>
      </c>
      <c r="J89" s="4"/>
      <c r="K89" s="2">
        <v>66</v>
      </c>
      <c r="L89" s="6"/>
      <c r="M89" s="2" t="str">
        <f>IF(J89="",ROUND(I89*(1-IF(ISBLANK(L89),K89,L89)/100),2),ROUND(J89*(1-IF(ISBLANK(L89),K89,L89)/100),2))</f>
      </c>
      <c r="N89" s="7" t="str">
        <f>IF(NOT(AND(J89="",L89="")),IF(OR(AND(L89&lt;&gt;"",NOT(ISNUMBER(L89))),IFERROR(MOD(L89,1),1)&gt;0,AND(ISNUMBER(L89),OR(L89&lt;0,L89&gt;95))),"Введите целое число от 0 до 95",IF(OR(AND(J89&lt;&gt;"",NOT(ISNUMBER(J89))),IFERROR(MOD(J89,1),1)&gt;0,AND(ISNUMBER(J89),OR(J89&lt;50,J89&gt;20000000))),"Введите целое число от 50 до 20000000",IF(NOT(ABS(IFERROR(VALUE(LEFT(M89,FIND("-",M89)-1)),M89)*100-(2500+2000000000)/2)&lt;=ABS(2500-2000000000)/2),"Цена со скидкой должна быть от 25 до 20000000",IF(IFERROR(VALUE(LEFT(M89,FIND("-",M89)-1)),M89)*229&lt;37399,"Вы уменьшили цену в несколько раз, товар попадет в карантин цен",IF(AND(IFERROR(VALUE(I89),0)=0,ISNUMBER(J89),OR(J89&lt;226,ABS(IFERROR(VALUE(LEFT(M89,FIND("-",M89)-1)),M89))*100&lt;22600)),"Проверьте цену товара. Большинство товаров в выбранной категории стоят дороже 226",""))))),"")</f>
      </c>
    </row>
    <row r="90">
      <c r="A90" s="2" t="inlineStr">
        <is>
          <t>VitalEmb</t>
        </is>
      </c>
      <c r="B90" s="2" t="inlineStr">
        <is>
          <t>Декор для одежды</t>
        </is>
      </c>
      <c r="C90" s="2">
        <v>588897698</v>
      </c>
      <c r="D90" s="2" t="inlineStr">
        <is>
          <t>pzngol0002_pzol0002_222051</t>
        </is>
      </c>
      <c r="E90" s="2" t="inlineStr">
        <is>
          <t>2047008900718</t>
        </is>
      </c>
      <c r="F90" s="2">
        <v>11</v>
      </c>
      <c r="G90" s="2">
        <v>0</v>
      </c>
      <c r="H90" s="2">
        <v>14</v>
      </c>
      <c r="I90" s="2" t="inlineStr">
        <is>
          <t>1100</t>
        </is>
      </c>
      <c r="J90" s="4"/>
      <c r="K90" s="2">
        <v>66</v>
      </c>
      <c r="L90" s="6"/>
      <c r="M90" s="2" t="str">
        <f>IF(J90="",ROUND(I90*(1-IF(ISBLANK(L90),K90,L90)/100),2),ROUND(J90*(1-IF(ISBLANK(L90),K90,L90)/100),2))</f>
      </c>
      <c r="N90" s="7" t="str">
        <f>IF(NOT(AND(J90="",L90="")),IF(OR(AND(L90&lt;&gt;"",NOT(ISNUMBER(L90))),IFERROR(MOD(L90,1),1)&gt;0,AND(ISNUMBER(L90),OR(L90&lt;0,L90&gt;95))),"Введите целое число от 0 до 95",IF(OR(AND(J90&lt;&gt;"",NOT(ISNUMBER(J90))),IFERROR(MOD(J90,1),1)&gt;0,AND(ISNUMBER(J90),OR(J90&lt;50,J90&gt;20000000))),"Введите целое число от 50 до 20000000",IF(NOT(ABS(IFERROR(VALUE(LEFT(M90,FIND("-",M90)-1)),M90)*100-(2500+2000000000)/2)&lt;=ABS(2500-2000000000)/2),"Цена со скидкой должна быть от 25 до 20000000",IF(IFERROR(VALUE(LEFT(M90,FIND("-",M90)-1)),M90)*229&lt;37399,"Вы уменьшили цену в несколько раз, товар попадет в карантин цен",IF(AND(IFERROR(VALUE(I90),0)=0,ISNUMBER(J90),OR(J90&lt;226,ABS(IFERROR(VALUE(LEFT(M90,FIND("-",M90)-1)),M90))*100&lt;22600)),"Проверьте цену товара. Большинство товаров в выбранной категории стоят дороже 226",""))))),"")</f>
      </c>
    </row>
    <row r="91">
      <c r="A91" s="2" t="inlineStr">
        <is>
          <t>VitalEmb</t>
        </is>
      </c>
      <c r="B91" s="2" t="inlineStr">
        <is>
          <t>Декор для одежды</t>
        </is>
      </c>
      <c r="C91" s="2">
        <v>679469699</v>
      </c>
      <c r="D91" s="2" t="inlineStr">
        <is>
          <t>bplapict0021</t>
        </is>
      </c>
      <c r="E91" s="2" t="inlineStr">
        <is>
          <t>2047675614833</t>
        </is>
      </c>
      <c r="F91" s="2">
        <v>12</v>
      </c>
      <c r="G91" s="2">
        <v>0</v>
      </c>
      <c r="H91" s="2">
        <v>366</v>
      </c>
      <c r="I91" s="2" t="inlineStr">
        <is>
          <t>1100</t>
        </is>
      </c>
      <c r="J91" s="4"/>
      <c r="K91" s="2">
        <v>57</v>
      </c>
      <c r="L91" s="6"/>
      <c r="M91" s="2" t="str">
        <f>IF(J91="",ROUND(I91*(1-IF(ISBLANK(L91),K91,L91)/100),2),ROUND(J91*(1-IF(ISBLANK(L91),K91,L91)/100),2))</f>
      </c>
      <c r="N91" s="7" t="str">
        <f>IF(NOT(AND(J91="",L91="")),IF(OR(AND(L91&lt;&gt;"",NOT(ISNUMBER(L91))),IFERROR(MOD(L91,1),1)&gt;0,AND(ISNUMBER(L91),OR(L91&lt;0,L91&gt;95))),"Введите целое число от 0 до 95",IF(OR(AND(J91&lt;&gt;"",NOT(ISNUMBER(J91))),IFERROR(MOD(J91,1),1)&gt;0,AND(ISNUMBER(J91),OR(J91&lt;50,J91&gt;20000000))),"Введите целое число от 50 до 20000000",IF(NOT(ABS(IFERROR(VALUE(LEFT(M91,FIND("-",M91)-1)),M91)*100-(2500+2000000000)/2)&lt;=ABS(2500-2000000000)/2),"Цена со скидкой должна быть от 25 до 20000000",IF(IFERROR(VALUE(LEFT(M91,FIND("-",M91)-1)),M91)*229&lt;47300,"Вы уменьшили цену в несколько раз, товар попадет в карантин цен",IF(AND(IFERROR(VALUE(I91),0)=0,ISNUMBER(J91),OR(J91&lt;226,ABS(IFERROR(VALUE(LEFT(M91,FIND("-",M91)-1)),M91))*100&lt;22600)),"Проверьте цену товара. Большинство товаров в выбранной категории стоят дороже 226",""))))),"")</f>
      </c>
    </row>
    <row r="92">
      <c r="A92" s="2" t="inlineStr">
        <is>
          <t>VitalEmb</t>
        </is>
      </c>
      <c r="B92" s="2" t="inlineStr">
        <is>
          <t>Декор для одежды</t>
        </is>
      </c>
      <c r="C92" s="2">
        <v>585952757</v>
      </c>
      <c r="D92" s="2" t="inlineStr">
        <is>
          <t>brigng0002_text0002_222903</t>
        </is>
      </c>
      <c r="E92" s="2" t="inlineStr">
        <is>
          <t>2046980788451</t>
        </is>
      </c>
      <c r="F92" s="2">
        <v>11</v>
      </c>
      <c r="G92" s="2">
        <v>0</v>
      </c>
      <c r="H92" s="2">
        <v>999</v>
      </c>
      <c r="I92" s="2" t="inlineStr">
        <is>
          <t>1100</t>
        </is>
      </c>
      <c r="J92" s="4"/>
      <c r="K92" s="2">
        <v>65</v>
      </c>
      <c r="L92" s="6"/>
      <c r="M92" s="2" t="str">
        <f>IF(J92="",ROUND(I92*(1-IF(ISBLANK(L92),K92,L92)/100),2),ROUND(J92*(1-IF(ISBLANK(L92),K92,L92)/100),2))</f>
      </c>
      <c r="N92" s="7" t="str">
        <f>IF(NOT(AND(J92="",L92="")),IF(OR(AND(L92&lt;&gt;"",NOT(ISNUMBER(L92))),IFERROR(MOD(L92,1),1)&gt;0,AND(ISNUMBER(L92),OR(L92&lt;0,L92&gt;95))),"Введите целое число от 0 до 95",IF(OR(AND(J92&lt;&gt;"",NOT(ISNUMBER(J92))),IFERROR(MOD(J92,1),1)&gt;0,AND(ISNUMBER(J92),OR(J92&lt;50,J92&gt;20000000))),"Введите целое число от 50 до 20000000",IF(NOT(ABS(IFERROR(VALUE(LEFT(M92,FIND("-",M92)-1)),M92)*100-(2500+2000000000)/2)&lt;=ABS(2500-2000000000)/2),"Цена со скидкой должна быть от 25 до 20000000",IF(IFERROR(VALUE(LEFT(M92,FIND("-",M92)-1)),M92)*229&lt;38500,"Вы уменьшили цену в несколько раз, товар попадет в карантин цен",IF(AND(IFERROR(VALUE(I92),0)=0,ISNUMBER(J92),OR(J92&lt;226,ABS(IFERROR(VALUE(LEFT(M92,FIND("-",M92)-1)),M92))*100&lt;22600)),"Проверьте цену товара. Большинство товаров в выбранной категории стоят дороже 226",""))))),"")</f>
      </c>
    </row>
    <row r="93">
      <c r="A93" s="2" t="inlineStr">
        <is>
          <t>VitalEmb</t>
        </is>
      </c>
      <c r="B93" s="2" t="inlineStr">
        <is>
          <t>Декор для одежды</t>
        </is>
      </c>
      <c r="C93" s="2">
        <v>595824206</v>
      </c>
      <c r="D93" s="2" t="inlineStr">
        <is>
          <t>bplapict0005_222305</t>
        </is>
      </c>
      <c r="E93" s="2" t="inlineStr">
        <is>
          <t>2047075826638</t>
        </is>
      </c>
      <c r="F93" s="2">
        <v>19</v>
      </c>
      <c r="G93" s="2">
        <v>0</v>
      </c>
      <c r="H93" s="2">
        <v>999</v>
      </c>
      <c r="I93" s="2" t="inlineStr">
        <is>
          <t>1100</t>
        </is>
      </c>
      <c r="J93" s="4"/>
      <c r="K93" s="2">
        <v>63</v>
      </c>
      <c r="L93" s="6"/>
      <c r="M93" s="2" t="str">
        <f>IF(J93="",ROUND(I93*(1-IF(ISBLANK(L93),K93,L93)/100),2),ROUND(J93*(1-IF(ISBLANK(L93),K93,L93)/100),2))</f>
      </c>
      <c r="N93" s="7" t="str">
        <f>IF(NOT(AND(J93="",L93="")),IF(OR(AND(L93&lt;&gt;"",NOT(ISNUMBER(L93))),IFERROR(MOD(L93,1),1)&gt;0,AND(ISNUMBER(L93),OR(L93&lt;0,L93&gt;95))),"Введите целое число от 0 до 95",IF(OR(AND(J93&lt;&gt;"",NOT(ISNUMBER(J93))),IFERROR(MOD(J93,1),1)&gt;0,AND(ISNUMBER(J93),OR(J93&lt;50,J93&gt;20000000))),"Введите целое число от 50 до 20000000",IF(NOT(ABS(IFERROR(VALUE(LEFT(M93,FIND("-",M93)-1)),M93)*100-(2500+2000000000)/2)&lt;=ABS(2500-2000000000)/2),"Цена со скидкой должна быть от 25 до 20000000",IF(IFERROR(VALUE(LEFT(M93,FIND("-",M93)-1)),M93)*229&lt;40700,"Вы уменьшили цену в несколько раз, товар попадет в карантин цен",IF(AND(IFERROR(VALUE(I93),0)=0,ISNUMBER(J93),OR(J93&lt;226,ABS(IFERROR(VALUE(LEFT(M93,FIND("-",M93)-1)),M93))*100&lt;22600)),"Проверьте цену товара. Большинство товаров в выбранной категории стоят дороже 226",""))))),"")</f>
      </c>
    </row>
    <row r="94">
      <c r="A94" s="2" t="inlineStr">
        <is>
          <t>VitalEmb</t>
        </is>
      </c>
      <c r="B94" s="2" t="inlineStr">
        <is>
          <t>Декор для одежды</t>
        </is>
      </c>
      <c r="C94" s="2">
        <v>591272235</v>
      </c>
      <c r="D94" s="2" t="inlineStr">
        <is>
          <t>fsinkit20001_kit20004_222273</t>
        </is>
      </c>
      <c r="E94" s="2" t="inlineStr">
        <is>
          <t>2047031905902</t>
        </is>
      </c>
      <c r="F94" s="2">
        <v>11</v>
      </c>
      <c r="G94" s="2">
        <v>0</v>
      </c>
      <c r="H94" s="2">
        <v>104</v>
      </c>
      <c r="I94" s="2" t="inlineStr">
        <is>
          <t>2000</t>
        </is>
      </c>
      <c r="J94" s="4"/>
      <c r="K94" s="2">
        <v>60</v>
      </c>
      <c r="L94" s="6"/>
      <c r="M94" s="2" t="str">
        <f>IF(J94="",ROUND(I94*(1-IF(ISBLANK(L94),K94,L94)/100),2),ROUND(J94*(1-IF(ISBLANK(L94),K94,L94)/100),2))</f>
      </c>
      <c r="N94" s="7" t="str">
        <f>IF(NOT(AND(J94="",L94="")),IF(OR(AND(L94&lt;&gt;"",NOT(ISNUMBER(L94))),IFERROR(MOD(L94,1),1)&gt;0,AND(ISNUMBER(L94),OR(L94&lt;0,L94&gt;95))),"Введите целое число от 0 до 95",IF(OR(AND(J94&lt;&gt;"",NOT(ISNUMBER(J94))),IFERROR(MOD(J94,1),1)&gt;0,AND(ISNUMBER(J94),OR(J94&lt;50,J94&gt;20000000))),"Введите целое число от 50 до 20000000",IF(NOT(ABS(IFERROR(VALUE(LEFT(M94,FIND("-",M94)-1)),M94)*100-(2500+2000000000)/2)&lt;=ABS(2500-2000000000)/2),"Цена со скидкой должна быть от 25 до 20000000",IF(IFERROR(VALUE(LEFT(M94,FIND("-",M94)-1)),M94)*229&lt;80000,"Вы уменьшили цену в несколько раз, товар попадет в карантин цен",IF(AND(IFERROR(VALUE(I94),0)=0,ISNUMBER(J94),OR(J94&lt;226,ABS(IFERROR(VALUE(LEFT(M94,FIND("-",M94)-1)),M94))*100&lt;22600)),"Проверьте цену товара. Большинство товаров в выбранной категории стоят дороже 226",""))))),"")</f>
      </c>
    </row>
    <row r="95">
      <c r="A95" s="2" t="inlineStr">
        <is>
          <t>VitalEmb</t>
        </is>
      </c>
      <c r="B95" s="2" t="inlineStr">
        <is>
          <t>Декор для одежды</t>
        </is>
      </c>
      <c r="C95" s="2">
        <v>588888337</v>
      </c>
      <c r="D95" s="2" t="inlineStr">
        <is>
          <t>pzngol0001_pzol0001_222053</t>
        </is>
      </c>
      <c r="E95" s="2" t="inlineStr">
        <is>
          <t>2047008505357</t>
        </is>
      </c>
      <c r="F95" s="2">
        <v>10</v>
      </c>
      <c r="G95" s="2">
        <v>0</v>
      </c>
      <c r="H95" s="2">
        <v>15</v>
      </c>
      <c r="I95" s="2" t="inlineStr">
        <is>
          <t>1100</t>
        </is>
      </c>
      <c r="J95" s="4"/>
      <c r="K95" s="2">
        <v>60</v>
      </c>
      <c r="L95" s="6"/>
      <c r="M95" s="2" t="str">
        <f>IF(J95="",ROUND(I95*(1-IF(ISBLANK(L95),K95,L95)/100),2),ROUND(J95*(1-IF(ISBLANK(L95),K95,L95)/100),2))</f>
      </c>
      <c r="N95" s="7" t="str">
        <f>IF(NOT(AND(J95="",L95="")),IF(OR(AND(L95&lt;&gt;"",NOT(ISNUMBER(L95))),IFERROR(MOD(L95,1),1)&gt;0,AND(ISNUMBER(L95),OR(L95&lt;0,L95&gt;95))),"Введите целое число от 0 до 95",IF(OR(AND(J95&lt;&gt;"",NOT(ISNUMBER(J95))),IFERROR(MOD(J95,1),1)&gt;0,AND(ISNUMBER(J95),OR(J95&lt;50,J95&gt;20000000))),"Введите целое число от 50 до 20000000",IF(NOT(ABS(IFERROR(VALUE(LEFT(M95,FIND("-",M95)-1)),M95)*100-(2500+2000000000)/2)&lt;=ABS(2500-2000000000)/2),"Цена со скидкой должна быть от 25 до 20000000",IF(IFERROR(VALUE(LEFT(M95,FIND("-",M95)-1)),M95)*229&lt;44000,"Вы уменьшили цену в несколько раз, товар попадет в карантин цен",IF(AND(IFERROR(VALUE(I95),0)=0,ISNUMBER(J95),OR(J95&lt;226,ABS(IFERROR(VALUE(LEFT(M95,FIND("-",M95)-1)),M95))*100&lt;22600)),"Проверьте цену товара. Большинство товаров в выбранной категории стоят дороже 226",""))))),"")</f>
      </c>
    </row>
    <row r="96">
      <c r="A96" s="2" t="inlineStr">
        <is>
          <t>VitalEmb</t>
        </is>
      </c>
      <c r="B96" s="2" t="inlineStr">
        <is>
          <t>Декор для одежды</t>
        </is>
      </c>
      <c r="C96" s="2">
        <v>593181575</v>
      </c>
      <c r="D96" s="2" t="inlineStr">
        <is>
          <t>pzngmh0002_pzmh0006_222717</t>
        </is>
      </c>
      <c r="E96" s="2" t="inlineStr">
        <is>
          <t>2047046530960</t>
        </is>
      </c>
      <c r="F96" s="2">
        <v>16</v>
      </c>
      <c r="G96" s="2">
        <v>0</v>
      </c>
      <c r="H96" s="2">
        <v>999</v>
      </c>
      <c r="I96" s="2" t="inlineStr">
        <is>
          <t>1100</t>
        </is>
      </c>
      <c r="J96" s="4"/>
      <c r="K96" s="2">
        <v>65</v>
      </c>
      <c r="L96" s="6"/>
      <c r="M96" s="2" t="str">
        <f>IF(J96="",ROUND(I96*(1-IF(ISBLANK(L96),K96,L96)/100),2),ROUND(J96*(1-IF(ISBLANK(L96),K96,L96)/100),2))</f>
      </c>
      <c r="N96" s="7" t="str">
        <f>IF(NOT(AND(J96="",L96="")),IF(OR(AND(L96&lt;&gt;"",NOT(ISNUMBER(L96))),IFERROR(MOD(L96,1),1)&gt;0,AND(ISNUMBER(L96),OR(L96&lt;0,L96&gt;95))),"Введите целое число от 0 до 95",IF(OR(AND(J96&lt;&gt;"",NOT(ISNUMBER(J96))),IFERROR(MOD(J96,1),1)&gt;0,AND(ISNUMBER(J96),OR(J96&lt;50,J96&gt;20000000))),"Введите целое число от 50 до 20000000",IF(NOT(ABS(IFERROR(VALUE(LEFT(M96,FIND("-",M96)-1)),M96)*100-(2500+2000000000)/2)&lt;=ABS(2500-2000000000)/2),"Цена со скидкой должна быть от 25 до 20000000",IF(IFERROR(VALUE(LEFT(M96,FIND("-",M96)-1)),M96)*229&lt;38500,"Вы уменьшили цену в несколько раз, товар попадет в карантин цен",IF(AND(IFERROR(VALUE(I96),0)=0,ISNUMBER(J96),OR(J96&lt;226,ABS(IFERROR(VALUE(LEFT(M96,FIND("-",M96)-1)),M96))*100&lt;22600)),"Проверьте цену товара. Большинство товаров в выбранной категории стоят дороже 226",""))))),"")</f>
      </c>
    </row>
    <row r="97">
      <c r="A97" s="2" t="inlineStr">
        <is>
          <t>VitalEmb</t>
        </is>
      </c>
      <c r="B97" s="2" t="inlineStr">
        <is>
          <t>Декор для одежды</t>
        </is>
      </c>
      <c r="C97" s="2">
        <v>593302776</v>
      </c>
      <c r="D97" s="2" t="inlineStr">
        <is>
          <t>pzngol0043_pzol0010_222928</t>
        </is>
      </c>
      <c r="E97" s="2" t="inlineStr">
        <is>
          <t>2047049109187</t>
        </is>
      </c>
      <c r="F97" s="2">
        <v>1</v>
      </c>
      <c r="G97" s="2">
        <v>0</v>
      </c>
      <c r="H97" s="2">
        <v>999</v>
      </c>
      <c r="I97" s="2" t="inlineStr">
        <is>
          <t>1100</t>
        </is>
      </c>
      <c r="J97" s="4"/>
      <c r="K97" s="2">
        <v>66</v>
      </c>
      <c r="L97" s="6"/>
      <c r="M97" s="2" t="str">
        <f>IF(J97="",ROUND(I97*(1-IF(ISBLANK(L97),K97,L97)/100),2),ROUND(J97*(1-IF(ISBLANK(L97),K97,L97)/100),2))</f>
      </c>
      <c r="N97" s="7" t="str">
        <f>IF(NOT(AND(J97="",L97="")),IF(OR(AND(L97&lt;&gt;"",NOT(ISNUMBER(L97))),IFERROR(MOD(L97,1),1)&gt;0,AND(ISNUMBER(L97),OR(L97&lt;0,L97&gt;95))),"Введите целое число от 0 до 95",IF(OR(AND(J97&lt;&gt;"",NOT(ISNUMBER(J97))),IFERROR(MOD(J97,1),1)&gt;0,AND(ISNUMBER(J97),OR(J97&lt;50,J97&gt;20000000))),"Введите целое число от 50 до 20000000",IF(NOT(ABS(IFERROR(VALUE(LEFT(M97,FIND("-",M97)-1)),M97)*100-(2500+2000000000)/2)&lt;=ABS(2500-2000000000)/2),"Цена со скидкой должна быть от 25 до 20000000",IF(IFERROR(VALUE(LEFT(M97,FIND("-",M97)-1)),M97)*229&lt;37399,"Вы уменьшили цену в несколько раз, товар попадет в карантин цен",IF(AND(IFERROR(VALUE(I97),0)=0,ISNUMBER(J97),OR(J97&lt;226,ABS(IFERROR(VALUE(LEFT(M97,FIND("-",M97)-1)),M97))*100&lt;22600)),"Проверьте цену товара. Большинство товаров в выбранной категории стоят дороже 226",""))))),"")</f>
      </c>
    </row>
    <row r="98">
      <c r="A98" s="2" t="inlineStr">
        <is>
          <t>VitalEmb</t>
        </is>
      </c>
      <c r="B98" s="2" t="inlineStr">
        <is>
          <t>Декор для одежды</t>
        </is>
      </c>
      <c r="C98" s="2">
        <v>690771134</v>
      </c>
      <c r="D98" s="2" t="inlineStr">
        <is>
          <t>priktext0012</t>
        </is>
      </c>
      <c r="E98" s="2" t="inlineStr">
        <is>
          <t>2047764690663</t>
        </is>
      </c>
      <c r="F98" s="2">
        <v>8</v>
      </c>
      <c r="G98" s="2">
        <v>0</v>
      </c>
      <c r="H98" s="2">
        <v>999</v>
      </c>
      <c r="I98" s="2" t="inlineStr">
        <is>
          <t>1100</t>
        </is>
      </c>
      <c r="J98" s="4"/>
      <c r="K98" s="2">
        <v>53</v>
      </c>
      <c r="L98" s="6"/>
      <c r="M98" s="2" t="str">
        <f>IF(J98="",ROUND(I98*(1-IF(ISBLANK(L98),K98,L98)/100),2),ROUND(J98*(1-IF(ISBLANK(L98),K98,L98)/100),2))</f>
      </c>
      <c r="N98" s="7" t="str">
        <f>IF(NOT(AND(J98="",L98="")),IF(OR(AND(L98&lt;&gt;"",NOT(ISNUMBER(L98))),IFERROR(MOD(L98,1),1)&gt;0,AND(ISNUMBER(L98),OR(L98&lt;0,L98&gt;95))),"Введите целое число от 0 до 95",IF(OR(AND(J98&lt;&gt;"",NOT(ISNUMBER(J98))),IFERROR(MOD(J98,1),1)&gt;0,AND(ISNUMBER(J98),OR(J98&lt;50,J98&gt;20000000))),"Введите целое число от 50 до 20000000",IF(NOT(ABS(IFERROR(VALUE(LEFT(M98,FIND("-",M98)-1)),M98)*100-(2500+2000000000)/2)&lt;=ABS(2500-2000000000)/2),"Цена со скидкой должна быть от 25 до 20000000",IF(IFERROR(VALUE(LEFT(M98,FIND("-",M98)-1)),M98)*229&lt;51700,"Вы уменьшили цену в несколько раз, товар попадет в карантин цен",IF(AND(IFERROR(VALUE(I98),0)=0,ISNUMBER(J98),OR(J98&lt;226,ABS(IFERROR(VALUE(LEFT(M98,FIND("-",M98)-1)),M98))*100&lt;22600)),"Проверьте цену товара. Большинство товаров в выбранной категории стоят дороже 226",""))))),"")</f>
      </c>
    </row>
    <row r="99">
      <c r="A99" s="2" t="inlineStr">
        <is>
          <t>VitalEmb</t>
        </is>
      </c>
      <c r="B99" s="2" t="inlineStr">
        <is>
          <t>Декор для одежды</t>
        </is>
      </c>
      <c r="C99" s="2">
        <v>593257509</v>
      </c>
      <c r="D99" s="2" t="inlineStr">
        <is>
          <t>pzngmh0006_pzmh0002_222723</t>
        </is>
      </c>
      <c r="E99" s="2" t="inlineStr">
        <is>
          <t>2047048555725</t>
        </is>
      </c>
      <c r="F99" s="2">
        <v>15</v>
      </c>
      <c r="G99" s="2">
        <v>0</v>
      </c>
      <c r="H99" s="2">
        <v>157</v>
      </c>
      <c r="I99" s="2" t="inlineStr">
        <is>
          <t>1100</t>
        </is>
      </c>
      <c r="J99" s="4"/>
      <c r="K99" s="2">
        <v>63</v>
      </c>
      <c r="L99" s="6"/>
      <c r="M99" s="2" t="str">
        <f>IF(J99="",ROUND(I99*(1-IF(ISBLANK(L99),K99,L99)/100),2),ROUND(J99*(1-IF(ISBLANK(L99),K99,L99)/100),2))</f>
      </c>
      <c r="N99" s="7" t="str">
        <f>IF(NOT(AND(J99="",L99="")),IF(OR(AND(L99&lt;&gt;"",NOT(ISNUMBER(L99))),IFERROR(MOD(L99,1),1)&gt;0,AND(ISNUMBER(L99),OR(L99&lt;0,L99&gt;95))),"Введите целое число от 0 до 95",IF(OR(AND(J99&lt;&gt;"",NOT(ISNUMBER(J99))),IFERROR(MOD(J99,1),1)&gt;0,AND(ISNUMBER(J99),OR(J99&lt;50,J99&gt;20000000))),"Введите целое число от 50 до 20000000",IF(NOT(ABS(IFERROR(VALUE(LEFT(M99,FIND("-",M99)-1)),M99)*100-(2500+2000000000)/2)&lt;=ABS(2500-2000000000)/2),"Цена со скидкой должна быть от 25 до 20000000",IF(IFERROR(VALUE(LEFT(M99,FIND("-",M99)-1)),M99)*229&lt;40700,"Вы уменьшили цену в несколько раз, товар попадет в карантин цен",IF(AND(IFERROR(VALUE(I99),0)=0,ISNUMBER(J99),OR(J99&lt;226,ABS(IFERROR(VALUE(LEFT(M99,FIND("-",M99)-1)),M99))*100&lt;22600)),"Проверьте цену товара. Большинство товаров в выбранной категории стоят дороже 226",""))))),"")</f>
      </c>
    </row>
    <row r="100">
      <c r="A100" s="2" t="inlineStr">
        <is>
          <t>VitalEmb</t>
        </is>
      </c>
      <c r="B100" s="2" t="inlineStr">
        <is>
          <t>Декор для одежды</t>
        </is>
      </c>
      <c r="C100" s="2">
        <v>593358612</v>
      </c>
      <c r="D100" s="2" t="inlineStr">
        <is>
          <t>pzkit2mh0019_pzmh0080</t>
        </is>
      </c>
      <c r="E100" s="2" t="inlineStr">
        <is>
          <t>2047049896070</t>
        </is>
      </c>
      <c r="F100" s="2">
        <v>20</v>
      </c>
      <c r="G100" s="2">
        <v>0</v>
      </c>
      <c r="H100" s="2">
        <v>315</v>
      </c>
      <c r="I100" s="2" t="inlineStr">
        <is>
          <t>2000</t>
        </is>
      </c>
      <c r="J100" s="4"/>
      <c r="K100" s="2">
        <v>65</v>
      </c>
      <c r="L100" s="6"/>
      <c r="M100" s="2" t="str">
        <f>IF(J100="",ROUND(I100*(1-IF(ISBLANK(L100),K100,L100)/100),2),ROUND(J100*(1-IF(ISBLANK(L100),K100,L100)/100),2))</f>
      </c>
      <c r="N100" s="7" t="str">
        <f>IF(NOT(AND(J100="",L100="")),IF(OR(AND(L100&lt;&gt;"",NOT(ISNUMBER(L100))),IFERROR(MOD(L100,1),1)&gt;0,AND(ISNUMBER(L100),OR(L100&lt;0,L100&gt;95))),"Введите целое число от 0 до 95",IF(OR(AND(J100&lt;&gt;"",NOT(ISNUMBER(J100))),IFERROR(MOD(J100,1),1)&gt;0,AND(ISNUMBER(J100),OR(J100&lt;50,J100&gt;20000000))),"Введите целое число от 50 до 20000000",IF(NOT(ABS(IFERROR(VALUE(LEFT(M100,FIND("-",M100)-1)),M100)*100-(2500+2000000000)/2)&lt;=ABS(2500-2000000000)/2),"Цена со скидкой должна быть от 25 до 20000000",IF(IFERROR(VALUE(LEFT(M100,FIND("-",M100)-1)),M100)*229&lt;70000,"Вы уменьшили цену в несколько раз, товар попадет в карантин цен",IF(AND(IFERROR(VALUE(I100),0)=0,ISNUMBER(J100),OR(J100&lt;226,ABS(IFERROR(VALUE(LEFT(M100,FIND("-",M100)-1)),M100))*100&lt;22600)),"Проверьте цену товара. Большинство товаров в выбранной категории стоят дороже 226",""))))),"")</f>
      </c>
    </row>
    <row r="101">
      <c r="A101" s="2" t="inlineStr">
        <is>
          <t>VitalEmb</t>
        </is>
      </c>
      <c r="B101" s="2" t="inlineStr">
        <is>
          <t>Декор для одежды</t>
        </is>
      </c>
      <c r="C101" s="2">
        <v>593433042</v>
      </c>
      <c r="D101" s="2" t="inlineStr">
        <is>
          <t>fsinkit20003_kitS0003_222284</t>
        </is>
      </c>
      <c r="E101" s="2" t="inlineStr">
        <is>
          <t>2047050898797</t>
        </is>
      </c>
      <c r="F101" s="2">
        <v>14</v>
      </c>
      <c r="G101" s="2">
        <v>0</v>
      </c>
      <c r="H101" s="2">
        <v>999</v>
      </c>
      <c r="I101" s="2" t="inlineStr">
        <is>
          <t>2000</t>
        </is>
      </c>
      <c r="J101" s="4"/>
      <c r="K101" s="2">
        <v>63</v>
      </c>
      <c r="L101" s="6"/>
      <c r="M101" s="2" t="str">
        <f>IF(J101="",ROUND(I101*(1-IF(ISBLANK(L101),K101,L101)/100),2),ROUND(J101*(1-IF(ISBLANK(L101),K101,L101)/100),2))</f>
      </c>
      <c r="N101" s="7" t="str">
        <f>IF(NOT(AND(J101="",L101="")),IF(OR(AND(L101&lt;&gt;"",NOT(ISNUMBER(L101))),IFERROR(MOD(L101,1),1)&gt;0,AND(ISNUMBER(L101),OR(L101&lt;0,L101&gt;95))),"Введите целое число от 0 до 95",IF(OR(AND(J101&lt;&gt;"",NOT(ISNUMBER(J101))),IFERROR(MOD(J101,1),1)&gt;0,AND(ISNUMBER(J101),OR(J101&lt;50,J101&gt;20000000))),"Введите целое число от 50 до 20000000",IF(NOT(ABS(IFERROR(VALUE(LEFT(M101,FIND("-",M101)-1)),M101)*100-(2500+2000000000)/2)&lt;=ABS(2500-2000000000)/2),"Цена со скидкой должна быть от 25 до 20000000",IF(IFERROR(VALUE(LEFT(M101,FIND("-",M101)-1)),M101)*229&lt;74000,"Вы уменьшили цену в несколько раз, товар попадет в карантин цен",IF(AND(IFERROR(VALUE(I101),0)=0,ISNUMBER(J101),OR(J101&lt;226,ABS(IFERROR(VALUE(LEFT(M101,FIND("-",M101)-1)),M101))*100&lt;22600)),"Проверьте цену товара. Большинство товаров в выбранной категории стоят дороже 226",""))))),"")</f>
      </c>
    </row>
    <row r="102">
      <c r="A102" s="2" t="inlineStr">
        <is>
          <t>VitalEmb</t>
        </is>
      </c>
      <c r="B102" s="2" t="inlineStr">
        <is>
          <t>Декор для одежды</t>
        </is>
      </c>
      <c r="C102" s="2">
        <v>593438162</v>
      </c>
      <c r="D102" s="2" t="inlineStr">
        <is>
          <t>fsinback0001_back0010_222615</t>
        </is>
      </c>
      <c r="E102" s="2" t="inlineStr">
        <is>
          <t>2047050974866</t>
        </is>
      </c>
      <c r="F102" s="2">
        <v>20</v>
      </c>
      <c r="G102" s="2">
        <v>0</v>
      </c>
      <c r="H102" s="2">
        <v>141</v>
      </c>
      <c r="I102" s="2" t="inlineStr">
        <is>
          <t>1500</t>
        </is>
      </c>
      <c r="J102" s="4"/>
      <c r="K102" s="2">
        <v>65</v>
      </c>
      <c r="L102" s="6"/>
      <c r="M102" s="2" t="str">
        <f>IF(J102="",ROUND(I102*(1-IF(ISBLANK(L102),K102,L102)/100),2),ROUND(J102*(1-IF(ISBLANK(L102),K102,L102)/100),2))</f>
      </c>
      <c r="N102" s="7" t="str">
        <f>IF(NOT(AND(J102="",L102="")),IF(OR(AND(L102&lt;&gt;"",NOT(ISNUMBER(L102))),IFERROR(MOD(L102,1),1)&gt;0,AND(ISNUMBER(L102),OR(L102&lt;0,L102&gt;95))),"Введите целое число от 0 до 95",IF(OR(AND(J102&lt;&gt;"",NOT(ISNUMBER(J102))),IFERROR(MOD(J102,1),1)&gt;0,AND(ISNUMBER(J102),OR(J102&lt;50,J102&gt;20000000))),"Введите целое число от 50 до 20000000",IF(NOT(ABS(IFERROR(VALUE(LEFT(M102,FIND("-",M102)-1)),M102)*100-(2500+2000000000)/2)&lt;=ABS(2500-2000000000)/2),"Цена со скидкой должна быть от 25 до 20000000",IF(IFERROR(VALUE(LEFT(M102,FIND("-",M102)-1)),M102)*229&lt;52500,"Вы уменьшили цену в несколько раз, товар попадет в карантин цен",IF(AND(IFERROR(VALUE(I102),0)=0,ISNUMBER(J102),OR(J102&lt;226,ABS(IFERROR(VALUE(LEFT(M102,FIND("-",M102)-1)),M102))*100&lt;22600)),"Проверьте цену товара. Большинство товаров в выбранной категории стоят дороже 226",""))))),"")</f>
      </c>
    </row>
    <row r="103">
      <c r="A103" s="2" t="inlineStr">
        <is>
          <t>VitalEmb</t>
        </is>
      </c>
      <c r="B103" s="2" t="inlineStr">
        <is>
          <t>Декор для одежды</t>
        </is>
      </c>
      <c r="C103" s="2">
        <v>711825659</v>
      </c>
      <c r="D103" s="2" t="inlineStr">
        <is>
          <t>razpict0044</t>
        </is>
      </c>
      <c r="E103" s="2" t="inlineStr">
        <is>
          <t>2047944918839</t>
        </is>
      </c>
      <c r="F103" s="2">
        <v>14</v>
      </c>
      <c r="G103" s="2">
        <v>0</v>
      </c>
      <c r="H103" s="2">
        <v>999</v>
      </c>
      <c r="I103" s="2" t="inlineStr">
        <is>
          <t>1100</t>
        </is>
      </c>
      <c r="J103" s="4"/>
      <c r="K103" s="2">
        <v>57</v>
      </c>
      <c r="L103" s="6"/>
      <c r="M103" s="2" t="str">
        <f>IF(J103="",ROUND(I103*(1-IF(ISBLANK(L103),K103,L103)/100),2),ROUND(J103*(1-IF(ISBLANK(L103),K103,L103)/100),2))</f>
      </c>
      <c r="N103" s="7" t="str">
        <f>IF(NOT(AND(J103="",L103="")),IF(OR(AND(L103&lt;&gt;"",NOT(ISNUMBER(L103))),IFERROR(MOD(L103,1),1)&gt;0,AND(ISNUMBER(L103),OR(L103&lt;0,L103&gt;95))),"Введите целое число от 0 до 95",IF(OR(AND(J103&lt;&gt;"",NOT(ISNUMBER(J103))),IFERROR(MOD(J103,1),1)&gt;0,AND(ISNUMBER(J103),OR(J103&lt;50,J103&gt;20000000))),"Введите целое число от 50 до 20000000",IF(NOT(ABS(IFERROR(VALUE(LEFT(M103,FIND("-",M103)-1)),M103)*100-(2500+2000000000)/2)&lt;=ABS(2500-2000000000)/2),"Цена со скидкой должна быть от 25 до 20000000",IF(IFERROR(VALUE(LEFT(M103,FIND("-",M103)-1)),M103)*229&lt;47300,"Вы уменьшили цену в несколько раз, товар попадет в карантин цен",IF(AND(IFERROR(VALUE(I103),0)=0,ISNUMBER(J103),OR(J103&lt;226,ABS(IFERROR(VALUE(LEFT(M103,FIND("-",M103)-1)),M103))*100&lt;22600)),"Проверьте цену товара. Большинство товаров в выбранной категории стоят дороже 226",""))))),"")</f>
      </c>
    </row>
    <row r="104">
      <c r="A104" s="2" t="inlineStr">
        <is>
          <t>VitalEmb</t>
        </is>
      </c>
      <c r="B104" s="2" t="inlineStr">
        <is>
          <t>Декор для одежды</t>
        </is>
      </c>
      <c r="C104" s="2">
        <v>593291925</v>
      </c>
      <c r="D104" s="2" t="inlineStr">
        <is>
          <t>pzngmh0019_pzmh0005_222705</t>
        </is>
      </c>
      <c r="E104" s="2" t="inlineStr">
        <is>
          <t>2047048945687</t>
        </is>
      </c>
      <c r="F104" s="2">
        <v>13</v>
      </c>
      <c r="G104" s="2">
        <v>0</v>
      </c>
      <c r="H104" s="2">
        <v>115</v>
      </c>
      <c r="I104" s="2" t="inlineStr">
        <is>
          <t>1100</t>
        </is>
      </c>
      <c r="J104" s="4"/>
      <c r="K104" s="2">
        <v>66</v>
      </c>
      <c r="L104" s="6"/>
      <c r="M104" s="2" t="str">
        <f>IF(J104="",ROUND(I104*(1-IF(ISBLANK(L104),K104,L104)/100),2),ROUND(J104*(1-IF(ISBLANK(L104),K104,L104)/100),2))</f>
      </c>
      <c r="N104" s="7" t="str">
        <f>IF(NOT(AND(J104="",L104="")),IF(OR(AND(L104&lt;&gt;"",NOT(ISNUMBER(L104))),IFERROR(MOD(L104,1),1)&gt;0,AND(ISNUMBER(L104),OR(L104&lt;0,L104&gt;95))),"Введите целое число от 0 до 95",IF(OR(AND(J104&lt;&gt;"",NOT(ISNUMBER(J104))),IFERROR(MOD(J104,1),1)&gt;0,AND(ISNUMBER(J104),OR(J104&lt;50,J104&gt;20000000))),"Введите целое число от 50 до 20000000",IF(NOT(ABS(IFERROR(VALUE(LEFT(M104,FIND("-",M104)-1)),M104)*100-(2500+2000000000)/2)&lt;=ABS(2500-2000000000)/2),"Цена со скидкой должна быть от 25 до 20000000",IF(IFERROR(VALUE(LEFT(M104,FIND("-",M104)-1)),M104)*229&lt;37399,"Вы уменьшили цену в несколько раз, товар попадет в карантин цен",IF(AND(IFERROR(VALUE(I104),0)=0,ISNUMBER(J104),OR(J104&lt;226,ABS(IFERROR(VALUE(LEFT(M104,FIND("-",M104)-1)),M104))*100&lt;22600)),"Проверьте цену товара. Большинство товаров в выбранной категории стоят дороже 226",""))))),"")</f>
      </c>
    </row>
    <row r="105">
      <c r="A105" s="2" t="inlineStr">
        <is>
          <t>VitalEmb</t>
        </is>
      </c>
      <c r="B105" s="2" t="inlineStr">
        <is>
          <t>Декор для одежды</t>
        </is>
      </c>
      <c r="C105" s="2">
        <v>588904591</v>
      </c>
      <c r="D105" s="2" t="inlineStr">
        <is>
          <t>pzngol0004_pzol0011_222917</t>
        </is>
      </c>
      <c r="E105" s="2" t="inlineStr">
        <is>
          <t>2047009117634</t>
        </is>
      </c>
      <c r="F105" s="2">
        <v>7</v>
      </c>
      <c r="G105" s="2">
        <v>0</v>
      </c>
      <c r="H105" s="2">
        <v>52</v>
      </c>
      <c r="I105" s="2" t="inlineStr">
        <is>
          <t>1100</t>
        </is>
      </c>
      <c r="J105" s="4"/>
      <c r="K105" s="2">
        <v>65</v>
      </c>
      <c r="L105" s="6"/>
      <c r="M105" s="2" t="str">
        <f>IF(J105="",ROUND(I105*(1-IF(ISBLANK(L105),K105,L105)/100),2),ROUND(J105*(1-IF(ISBLANK(L105),K105,L105)/100),2))</f>
      </c>
      <c r="N105" s="7" t="str">
        <f>IF(NOT(AND(J105="",L105="")),IF(OR(AND(L105&lt;&gt;"",NOT(ISNUMBER(L105))),IFERROR(MOD(L105,1),1)&gt;0,AND(ISNUMBER(L105),OR(L105&lt;0,L105&gt;95))),"Введите целое число от 0 до 95",IF(OR(AND(J105&lt;&gt;"",NOT(ISNUMBER(J105))),IFERROR(MOD(J105,1),1)&gt;0,AND(ISNUMBER(J105),OR(J105&lt;50,J105&gt;20000000))),"Введите целое число от 50 до 20000000",IF(NOT(ABS(IFERROR(VALUE(LEFT(M105,FIND("-",M105)-1)),M105)*100-(2500+2000000000)/2)&lt;=ABS(2500-2000000000)/2),"Цена со скидкой должна быть от 25 до 20000000",IF(IFERROR(VALUE(LEFT(M105,FIND("-",M105)-1)),M105)*229&lt;38500,"Вы уменьшили цену в несколько раз, товар попадет в карантин цен",IF(AND(IFERROR(VALUE(I105),0)=0,ISNUMBER(J105),OR(J105&lt;226,ABS(IFERROR(VALUE(LEFT(M105,FIND("-",M105)-1)),M105))*100&lt;22600)),"Проверьте цену товара. Большинство товаров в выбранной категории стоят дороже 226",""))))),"")</f>
      </c>
    </row>
    <row r="106">
      <c r="A106" s="2" t="inlineStr">
        <is>
          <t>VitalEmb</t>
        </is>
      </c>
      <c r="B106" s="2" t="inlineStr">
        <is>
          <t>Декор для одежды</t>
        </is>
      </c>
      <c r="C106" s="2">
        <v>588913059</v>
      </c>
      <c r="D106" s="2" t="inlineStr">
        <is>
          <t>pzngol0007_pzol0005_222452</t>
        </is>
      </c>
      <c r="E106" s="2" t="inlineStr">
        <is>
          <t>2047009779931</t>
        </is>
      </c>
      <c r="F106" s="2">
        <v>18</v>
      </c>
      <c r="G106" s="2">
        <v>0</v>
      </c>
      <c r="H106" s="2">
        <v>999</v>
      </c>
      <c r="I106" s="2" t="inlineStr">
        <is>
          <t>1100</t>
        </is>
      </c>
      <c r="J106" s="4"/>
      <c r="K106" s="2">
        <v>65</v>
      </c>
      <c r="L106" s="6"/>
      <c r="M106" s="2" t="str">
        <f>IF(J106="",ROUND(I106*(1-IF(ISBLANK(L106),K106,L106)/100),2),ROUND(J106*(1-IF(ISBLANK(L106),K106,L106)/100),2))</f>
      </c>
      <c r="N106" s="7" t="str">
        <f>IF(NOT(AND(J106="",L106="")),IF(OR(AND(L106&lt;&gt;"",NOT(ISNUMBER(L106))),IFERROR(MOD(L106,1),1)&gt;0,AND(ISNUMBER(L106),OR(L106&lt;0,L106&gt;95))),"Введите целое число от 0 до 95",IF(OR(AND(J106&lt;&gt;"",NOT(ISNUMBER(J106))),IFERROR(MOD(J106,1),1)&gt;0,AND(ISNUMBER(J106),OR(J106&lt;50,J106&gt;20000000))),"Введите целое число от 50 до 20000000",IF(NOT(ABS(IFERROR(VALUE(LEFT(M106,FIND("-",M106)-1)),M106)*100-(2500+2000000000)/2)&lt;=ABS(2500-2000000000)/2),"Цена со скидкой должна быть от 25 до 20000000",IF(IFERROR(VALUE(LEFT(M106,FIND("-",M106)-1)),M106)*229&lt;38500,"Вы уменьшили цену в несколько раз, товар попадет в карантин цен",IF(AND(IFERROR(VALUE(I106),0)=0,ISNUMBER(J106),OR(J106&lt;226,ABS(IFERROR(VALUE(LEFT(M106,FIND("-",M106)-1)),M106))*100&lt;22600)),"Проверьте цену товара. Большинство товаров в выбранной категории стоят дороже 226",""))))),"")</f>
      </c>
    </row>
    <row r="107">
      <c r="A107" s="2" t="inlineStr">
        <is>
          <t>VitalEmb</t>
        </is>
      </c>
      <c r="B107" s="2" t="inlineStr">
        <is>
          <t>Декор для одежды</t>
        </is>
      </c>
      <c r="C107" s="2">
        <v>709493929</v>
      </c>
      <c r="D107" s="2" t="inlineStr">
        <is>
          <t>razpict0040</t>
        </is>
      </c>
      <c r="E107" s="2" t="inlineStr">
        <is>
          <t>2047919939876</t>
        </is>
      </c>
      <c r="F107" s="2">
        <v>16</v>
      </c>
      <c r="G107" s="2">
        <v>0</v>
      </c>
      <c r="H107" s="2">
        <v>999</v>
      </c>
      <c r="I107" s="2" t="inlineStr">
        <is>
          <t>1100</t>
        </is>
      </c>
      <c r="J107" s="4"/>
      <c r="K107" s="2">
        <v>57</v>
      </c>
      <c r="L107" s="6"/>
      <c r="M107" s="2" t="str">
        <f>IF(J107="",ROUND(I107*(1-IF(ISBLANK(L107),K107,L107)/100),2),ROUND(J107*(1-IF(ISBLANK(L107),K107,L107)/100),2))</f>
      </c>
      <c r="N107" s="7" t="str">
        <f>IF(NOT(AND(J107="",L107="")),IF(OR(AND(L107&lt;&gt;"",NOT(ISNUMBER(L107))),IFERROR(MOD(L107,1),1)&gt;0,AND(ISNUMBER(L107),OR(L107&lt;0,L107&gt;95))),"Введите целое число от 0 до 95",IF(OR(AND(J107&lt;&gt;"",NOT(ISNUMBER(J107))),IFERROR(MOD(J107,1),1)&gt;0,AND(ISNUMBER(J107),OR(J107&lt;50,J107&gt;20000000))),"Введите целое число от 50 до 20000000",IF(NOT(ABS(IFERROR(VALUE(LEFT(M107,FIND("-",M107)-1)),M107)*100-(2500+2000000000)/2)&lt;=ABS(2500-2000000000)/2),"Цена со скидкой должна быть от 25 до 20000000",IF(IFERROR(VALUE(LEFT(M107,FIND("-",M107)-1)),M107)*229&lt;47300,"Вы уменьшили цену в несколько раз, товар попадет в карантин цен",IF(AND(IFERROR(VALUE(I107),0)=0,ISNUMBER(J107),OR(J107&lt;226,ABS(IFERROR(VALUE(LEFT(M107,FIND("-",M107)-1)),M107))*100&lt;22600)),"Проверьте цену товара. Большинство товаров в выбранной категории стоят дороже 226",""))))),"")</f>
      </c>
    </row>
    <row r="108">
      <c r="A108" s="2" t="inlineStr">
        <is>
          <t>VitalEmb</t>
        </is>
      </c>
      <c r="B108" s="2" t="inlineStr">
        <is>
          <t>Декор для одежды</t>
        </is>
      </c>
      <c r="C108" s="2">
        <v>709493930</v>
      </c>
      <c r="D108" s="2" t="inlineStr">
        <is>
          <t>razpict0045</t>
        </is>
      </c>
      <c r="E108" s="2" t="inlineStr">
        <is>
          <t>2047919899590</t>
        </is>
      </c>
      <c r="F108" s="2">
        <v>14</v>
      </c>
      <c r="G108" s="2">
        <v>0</v>
      </c>
      <c r="H108" s="2">
        <v>999</v>
      </c>
      <c r="I108" s="2" t="inlineStr">
        <is>
          <t>1100</t>
        </is>
      </c>
      <c r="J108" s="4"/>
      <c r="K108" s="2">
        <v>57</v>
      </c>
      <c r="L108" s="6"/>
      <c r="M108" s="2" t="str">
        <f>IF(J108="",ROUND(I108*(1-IF(ISBLANK(L108),K108,L108)/100),2),ROUND(J108*(1-IF(ISBLANK(L108),K108,L108)/100),2))</f>
      </c>
      <c r="N108" s="7" t="str">
        <f>IF(NOT(AND(J108="",L108="")),IF(OR(AND(L108&lt;&gt;"",NOT(ISNUMBER(L108))),IFERROR(MOD(L108,1),1)&gt;0,AND(ISNUMBER(L108),OR(L108&lt;0,L108&gt;95))),"Введите целое число от 0 до 95",IF(OR(AND(J108&lt;&gt;"",NOT(ISNUMBER(J108))),IFERROR(MOD(J108,1),1)&gt;0,AND(ISNUMBER(J108),OR(J108&lt;50,J108&gt;20000000))),"Введите целое число от 50 до 20000000",IF(NOT(ABS(IFERROR(VALUE(LEFT(M108,FIND("-",M108)-1)),M108)*100-(2500+2000000000)/2)&lt;=ABS(2500-2000000000)/2),"Цена со скидкой должна быть от 25 до 20000000",IF(IFERROR(VALUE(LEFT(M108,FIND("-",M108)-1)),M108)*229&lt;47300,"Вы уменьшили цену в несколько раз, товар попадет в карантин цен",IF(AND(IFERROR(VALUE(I108),0)=0,ISNUMBER(J108),OR(J108&lt;226,ABS(IFERROR(VALUE(LEFT(M108,FIND("-",M108)-1)),M108))*100&lt;22600)),"Проверьте цену товара. Большинство товаров в выбранной категории стоят дороже 226",""))))),"")</f>
      </c>
    </row>
    <row r="109">
      <c r="A109" s="2" t="inlineStr">
        <is>
          <t>VitalEmb</t>
        </is>
      </c>
      <c r="B109" s="2" t="inlineStr">
        <is>
          <t>Декор для одежды</t>
        </is>
      </c>
      <c r="C109" s="2">
        <v>593296759</v>
      </c>
      <c r="D109" s="2" t="inlineStr">
        <is>
          <t>pzngol0036_pzol0019_222659</t>
        </is>
      </c>
      <c r="E109" s="2" t="inlineStr">
        <is>
          <t>2047049051288</t>
        </is>
      </c>
      <c r="F109" s="2">
        <v>12</v>
      </c>
      <c r="G109" s="2">
        <v>0</v>
      </c>
      <c r="H109" s="2">
        <v>27</v>
      </c>
      <c r="I109" s="2" t="inlineStr">
        <is>
          <t>1100</t>
        </is>
      </c>
      <c r="J109" s="4"/>
      <c r="K109" s="2">
        <v>57</v>
      </c>
      <c r="L109" s="6"/>
      <c r="M109" s="2" t="str">
        <f>IF(J109="",ROUND(I109*(1-IF(ISBLANK(L109),K109,L109)/100),2),ROUND(J109*(1-IF(ISBLANK(L109),K109,L109)/100),2))</f>
      </c>
      <c r="N109" s="7" t="str">
        <f>IF(NOT(AND(J109="",L109="")),IF(OR(AND(L109&lt;&gt;"",NOT(ISNUMBER(L109))),IFERROR(MOD(L109,1),1)&gt;0,AND(ISNUMBER(L109),OR(L109&lt;0,L109&gt;95))),"Введите целое число от 0 до 95",IF(OR(AND(J109&lt;&gt;"",NOT(ISNUMBER(J109))),IFERROR(MOD(J109,1),1)&gt;0,AND(ISNUMBER(J109),OR(J109&lt;50,J109&gt;20000000))),"Введите целое число от 50 до 20000000",IF(NOT(ABS(IFERROR(VALUE(LEFT(M109,FIND("-",M109)-1)),M109)*100-(2500+2000000000)/2)&lt;=ABS(2500-2000000000)/2),"Цена со скидкой должна быть от 25 до 20000000",IF(IFERROR(VALUE(LEFT(M109,FIND("-",M109)-1)),M109)*229&lt;47300,"Вы уменьшили цену в несколько раз, товар попадет в карантин цен",IF(AND(IFERROR(VALUE(I109),0)=0,ISNUMBER(J109),OR(J109&lt;226,ABS(IFERROR(VALUE(LEFT(M109,FIND("-",M109)-1)),M109))*100&lt;22600)),"Проверьте цену товара. Большинство товаров в выбранной категории стоят дороже 226",""))))),"")</f>
      </c>
    </row>
    <row r="110">
      <c r="A110" s="2" t="inlineStr">
        <is>
          <t>VitalEmb</t>
        </is>
      </c>
      <c r="B110" s="2" t="inlineStr">
        <is>
          <t>Декор для одежды</t>
        </is>
      </c>
      <c r="C110" s="2">
        <v>711854744</v>
      </c>
      <c r="D110" s="2" t="inlineStr">
        <is>
          <t>shtpict0016</t>
        </is>
      </c>
      <c r="E110" s="2" t="inlineStr">
        <is>
          <t>2047945337349</t>
        </is>
      </c>
      <c r="F110" s="2">
        <v>5</v>
      </c>
      <c r="G110" s="2">
        <v>0</v>
      </c>
      <c r="H110" s="2">
        <v>157</v>
      </c>
      <c r="I110" s="2" t="inlineStr">
        <is>
          <t>1100</t>
        </is>
      </c>
      <c r="J110" s="4"/>
      <c r="K110" s="2">
        <v>61</v>
      </c>
      <c r="L110" s="6"/>
      <c r="M110" s="2" t="str">
        <f>IF(J110="",ROUND(I110*(1-IF(ISBLANK(L110),K110,L110)/100),2),ROUND(J110*(1-IF(ISBLANK(L110),K110,L110)/100),2))</f>
      </c>
      <c r="N110" s="7" t="str">
        <f>IF(NOT(AND(J110="",L110="")),IF(OR(AND(L110&lt;&gt;"",NOT(ISNUMBER(L110))),IFERROR(MOD(L110,1),1)&gt;0,AND(ISNUMBER(L110),OR(L110&lt;0,L110&gt;95))),"Введите целое число от 0 до 95",IF(OR(AND(J110&lt;&gt;"",NOT(ISNUMBER(J110))),IFERROR(MOD(J110,1),1)&gt;0,AND(ISNUMBER(J110),OR(J110&lt;50,J110&gt;20000000))),"Введите целое число от 50 до 20000000",IF(NOT(ABS(IFERROR(VALUE(LEFT(M110,FIND("-",M110)-1)),M110)*100-(2500+2000000000)/2)&lt;=ABS(2500-2000000000)/2),"Цена со скидкой должна быть от 25 до 20000000",IF(IFERROR(VALUE(LEFT(M110,FIND("-",M110)-1)),M110)*229&lt;42900,"Вы уменьшили цену в несколько раз, товар попадет в карантин цен",IF(AND(IFERROR(VALUE(I110),0)=0,ISNUMBER(J110),OR(J110&lt;226,ABS(IFERROR(VALUE(LEFT(M110,FIND("-",M110)-1)),M110))*100&lt;22600)),"Проверьте цену товара. Большинство товаров в выбранной категории стоят дороже 226",""))))),"")</f>
      </c>
    </row>
    <row r="111">
      <c r="A111" s="2" t="inlineStr">
        <is>
          <t>VitalEmb</t>
        </is>
      </c>
      <c r="B111" s="2" t="inlineStr">
        <is>
          <t>Декор для одежды</t>
        </is>
      </c>
      <c r="C111" s="2">
        <v>593266919</v>
      </c>
      <c r="D111" s="2" t="inlineStr">
        <is>
          <t>pzngmh0007_pzmh0017_222731</t>
        </is>
      </c>
      <c r="E111" s="2" t="inlineStr">
        <is>
          <t>2047048733734</t>
        </is>
      </c>
      <c r="F111" s="2">
        <v>17</v>
      </c>
      <c r="G111" s="2">
        <v>0</v>
      </c>
      <c r="H111" s="2">
        <v>508</v>
      </c>
      <c r="I111" s="2" t="inlineStr">
        <is>
          <t>1100</t>
        </is>
      </c>
      <c r="J111" s="4"/>
      <c r="K111" s="2">
        <v>65</v>
      </c>
      <c r="L111" s="6"/>
      <c r="M111" s="2" t="str">
        <f>IF(J111="",ROUND(I111*(1-IF(ISBLANK(L111),K111,L111)/100),2),ROUND(J111*(1-IF(ISBLANK(L111),K111,L111)/100),2))</f>
      </c>
      <c r="N111" s="7" t="str">
        <f>IF(NOT(AND(J111="",L111="")),IF(OR(AND(L111&lt;&gt;"",NOT(ISNUMBER(L111))),IFERROR(MOD(L111,1),1)&gt;0,AND(ISNUMBER(L111),OR(L111&lt;0,L111&gt;95))),"Введите целое число от 0 до 95",IF(OR(AND(J111&lt;&gt;"",NOT(ISNUMBER(J111))),IFERROR(MOD(J111,1),1)&gt;0,AND(ISNUMBER(J111),OR(J111&lt;50,J111&gt;20000000))),"Введите целое число от 50 до 20000000",IF(NOT(ABS(IFERROR(VALUE(LEFT(M111,FIND("-",M111)-1)),M111)*100-(2500+2000000000)/2)&lt;=ABS(2500-2000000000)/2),"Цена со скидкой должна быть от 25 до 20000000",IF(IFERROR(VALUE(LEFT(M111,FIND("-",M111)-1)),M111)*229&lt;38500,"Вы уменьшили цену в несколько раз, товар попадет в карантин цен",IF(AND(IFERROR(VALUE(I111),0)=0,ISNUMBER(J111),OR(J111&lt;226,ABS(IFERROR(VALUE(LEFT(M111,FIND("-",M111)-1)),M111))*100&lt;22600)),"Проверьте цену товара. Большинство товаров в выбранной категории стоят дороже 226",""))))),"")</f>
      </c>
    </row>
    <row r="112">
      <c r="A112" s="2" t="inlineStr">
        <is>
          <t>VitalEmb</t>
        </is>
      </c>
      <c r="B112" s="2" t="inlineStr">
        <is>
          <t>Декор для одежды</t>
        </is>
      </c>
      <c r="C112" s="2">
        <v>611971900</v>
      </c>
      <c r="D112" s="2" t="inlineStr">
        <is>
          <t>pzngol0012_222056</t>
        </is>
      </c>
      <c r="E112" s="2" t="inlineStr">
        <is>
          <t>2047239253393</t>
        </is>
      </c>
      <c r="F112" s="2">
        <v>7</v>
      </c>
      <c r="G112" s="2">
        <v>0</v>
      </c>
      <c r="H112" s="2">
        <v>222</v>
      </c>
      <c r="I112" s="2" t="inlineStr">
        <is>
          <t>1100</t>
        </is>
      </c>
      <c r="J112" s="4"/>
      <c r="K112" s="2">
        <v>63</v>
      </c>
      <c r="L112" s="6"/>
      <c r="M112" s="2" t="str">
        <f>IF(J112="",ROUND(I112*(1-IF(ISBLANK(L112),K112,L112)/100),2),ROUND(J112*(1-IF(ISBLANK(L112),K112,L112)/100),2))</f>
      </c>
      <c r="N112" s="7" t="str">
        <f>IF(NOT(AND(J112="",L112="")),IF(OR(AND(L112&lt;&gt;"",NOT(ISNUMBER(L112))),IFERROR(MOD(L112,1),1)&gt;0,AND(ISNUMBER(L112),OR(L112&lt;0,L112&gt;95))),"Введите целое число от 0 до 95",IF(OR(AND(J112&lt;&gt;"",NOT(ISNUMBER(J112))),IFERROR(MOD(J112,1),1)&gt;0,AND(ISNUMBER(J112),OR(J112&lt;50,J112&gt;20000000))),"Введите целое число от 50 до 20000000",IF(NOT(ABS(IFERROR(VALUE(LEFT(M112,FIND("-",M112)-1)),M112)*100-(2500+2000000000)/2)&lt;=ABS(2500-2000000000)/2),"Цена со скидкой должна быть от 25 до 20000000",IF(IFERROR(VALUE(LEFT(M112,FIND("-",M112)-1)),M112)*229&lt;40700,"Вы уменьшили цену в несколько раз, товар попадет в карантин цен",IF(AND(IFERROR(VALUE(I112),0)=0,ISNUMBER(J112),OR(J112&lt;226,ABS(IFERROR(VALUE(LEFT(M112,FIND("-",M112)-1)),M112))*100&lt;22600)),"Проверьте цену товара. Большинство товаров в выбранной категории стоят дороже 226",""))))),"")</f>
      </c>
    </row>
    <row r="113">
      <c r="A113" s="2" t="inlineStr">
        <is>
          <t>VitalEmb</t>
        </is>
      </c>
      <c r="B113" s="2" t="inlineStr">
        <is>
          <t>Декор для одежды</t>
        </is>
      </c>
      <c r="C113" s="2">
        <v>600840214</v>
      </c>
      <c r="D113" s="2" t="inlineStr">
        <is>
          <t>shtpict0009_pict0163</t>
        </is>
      </c>
      <c r="E113" s="2" t="inlineStr">
        <is>
          <t>2047132402287</t>
        </is>
      </c>
      <c r="F113" s="2">
        <v>15</v>
      </c>
      <c r="G113" s="2">
        <v>0</v>
      </c>
      <c r="H113" s="2">
        <v>999</v>
      </c>
      <c r="I113" s="2" t="inlineStr">
        <is>
          <t>1100</t>
        </is>
      </c>
      <c r="J113" s="4"/>
      <c r="K113" s="2">
        <v>63</v>
      </c>
      <c r="L113" s="6"/>
      <c r="M113" s="2" t="str">
        <f>IF(J113="",ROUND(I113*(1-IF(ISBLANK(L113),K113,L113)/100),2),ROUND(J113*(1-IF(ISBLANK(L113),K113,L113)/100),2))</f>
      </c>
      <c r="N113" s="7" t="str">
        <f>IF(NOT(AND(J113="",L113="")),IF(OR(AND(L113&lt;&gt;"",NOT(ISNUMBER(L113))),IFERROR(MOD(L113,1),1)&gt;0,AND(ISNUMBER(L113),OR(L113&lt;0,L113&gt;95))),"Введите целое число от 0 до 95",IF(OR(AND(J113&lt;&gt;"",NOT(ISNUMBER(J113))),IFERROR(MOD(J113,1),1)&gt;0,AND(ISNUMBER(J113),OR(J113&lt;50,J113&gt;20000000))),"Введите целое число от 50 до 20000000",IF(NOT(ABS(IFERROR(VALUE(LEFT(M113,FIND("-",M113)-1)),M113)*100-(2500+2000000000)/2)&lt;=ABS(2500-2000000000)/2),"Цена со скидкой должна быть от 25 до 20000000",IF(IFERROR(VALUE(LEFT(M113,FIND("-",M113)-1)),M113)*229&lt;40700,"Вы уменьшили цену в несколько раз, товар попадет в карантин цен",IF(AND(IFERROR(VALUE(I113),0)=0,ISNUMBER(J113),OR(J113&lt;226,ABS(IFERROR(VALUE(LEFT(M113,FIND("-",M113)-1)),M113))*100&lt;22600)),"Проверьте цену товара. Большинство товаров в выбранной категории стоят дороже 226",""))))),"")</f>
      </c>
    </row>
    <row r="114">
      <c r="A114" s="2" t="inlineStr">
        <is>
          <t>VitalEmb</t>
        </is>
      </c>
      <c r="B114" s="2" t="inlineStr">
        <is>
          <t>Декор для одежды</t>
        </is>
      </c>
      <c r="C114" s="2">
        <v>611996326</v>
      </c>
      <c r="D114" s="2" t="inlineStr">
        <is>
          <t>pzngol0015_222050</t>
        </is>
      </c>
      <c r="E114" s="2" t="inlineStr">
        <is>
          <t>2047239608506</t>
        </is>
      </c>
      <c r="F114" s="2">
        <v>7</v>
      </c>
      <c r="G114" s="2">
        <v>0</v>
      </c>
      <c r="H114" s="2">
        <v>999</v>
      </c>
      <c r="I114" s="2" t="inlineStr">
        <is>
          <t>1100</t>
        </is>
      </c>
      <c r="J114" s="4"/>
      <c r="K114" s="2">
        <v>53</v>
      </c>
      <c r="L114" s="6"/>
      <c r="M114" s="2" t="str">
        <f>IF(J114="",ROUND(I114*(1-IF(ISBLANK(L114),K114,L114)/100),2),ROUND(J114*(1-IF(ISBLANK(L114),K114,L114)/100),2))</f>
      </c>
      <c r="N114" s="7" t="str">
        <f>IF(NOT(AND(J114="",L114="")),IF(OR(AND(L114&lt;&gt;"",NOT(ISNUMBER(L114))),IFERROR(MOD(L114,1),1)&gt;0,AND(ISNUMBER(L114),OR(L114&lt;0,L114&gt;95))),"Введите целое число от 0 до 95",IF(OR(AND(J114&lt;&gt;"",NOT(ISNUMBER(J114))),IFERROR(MOD(J114,1),1)&gt;0,AND(ISNUMBER(J114),OR(J114&lt;50,J114&gt;20000000))),"Введите целое число от 50 до 20000000",IF(NOT(ABS(IFERROR(VALUE(LEFT(M114,FIND("-",M114)-1)),M114)*100-(2500+2000000000)/2)&lt;=ABS(2500-2000000000)/2),"Цена со скидкой должна быть от 25 до 20000000",IF(IFERROR(VALUE(LEFT(M114,FIND("-",M114)-1)),M114)*229&lt;51700,"Вы уменьшили цену в несколько раз, товар попадет в карантин цен",IF(AND(IFERROR(VALUE(I114),0)=0,ISNUMBER(J114),OR(J114&lt;226,ABS(IFERROR(VALUE(LEFT(M114,FIND("-",M114)-1)),M114))*100&lt;22600)),"Проверьте цену товара. Большинство товаров в выбранной категории стоят дороже 226",""))))),"")</f>
      </c>
    </row>
    <row r="115">
      <c r="A115" s="2" t="inlineStr">
        <is>
          <t>VitalEmb</t>
        </is>
      </c>
      <c r="B115" s="2" t="inlineStr">
        <is>
          <t>Декор для одежды</t>
        </is>
      </c>
      <c r="C115" s="2">
        <v>611967024</v>
      </c>
      <c r="D115" s="2" t="inlineStr">
        <is>
          <t>pzngmh0010_222745</t>
        </is>
      </c>
      <c r="E115" s="2" t="inlineStr">
        <is>
          <t>2047239098536</t>
        </is>
      </c>
      <c r="F115" s="2">
        <v>6</v>
      </c>
      <c r="G115" s="2">
        <v>0</v>
      </c>
      <c r="H115" s="2">
        <v>85</v>
      </c>
      <c r="I115" s="2" t="inlineStr">
        <is>
          <t>1100</t>
        </is>
      </c>
      <c r="J115" s="4"/>
      <c r="K115" s="2">
        <v>57</v>
      </c>
      <c r="L115" s="6"/>
      <c r="M115" s="2" t="str">
        <f>IF(J115="",ROUND(I115*(1-IF(ISBLANK(L115),K115,L115)/100),2),ROUND(J115*(1-IF(ISBLANK(L115),K115,L115)/100),2))</f>
      </c>
      <c r="N115" s="7" t="str">
        <f>IF(NOT(AND(J115="",L115="")),IF(OR(AND(L115&lt;&gt;"",NOT(ISNUMBER(L115))),IFERROR(MOD(L115,1),1)&gt;0,AND(ISNUMBER(L115),OR(L115&lt;0,L115&gt;95))),"Введите целое число от 0 до 95",IF(OR(AND(J115&lt;&gt;"",NOT(ISNUMBER(J115))),IFERROR(MOD(J115,1),1)&gt;0,AND(ISNUMBER(J115),OR(J115&lt;50,J115&gt;20000000))),"Введите целое число от 50 до 20000000",IF(NOT(ABS(IFERROR(VALUE(LEFT(M115,FIND("-",M115)-1)),M115)*100-(2500+2000000000)/2)&lt;=ABS(2500-2000000000)/2),"Цена со скидкой должна быть от 25 до 20000000",IF(IFERROR(VALUE(LEFT(M115,FIND("-",M115)-1)),M115)*229&lt;47300,"Вы уменьшили цену в несколько раз, товар попадет в карантин цен",IF(AND(IFERROR(VALUE(I115),0)=0,ISNUMBER(J115),OR(J115&lt;226,ABS(IFERROR(VALUE(LEFT(M115,FIND("-",M115)-1)),M115))*100&lt;22600)),"Проверьте цену товара. Большинство товаров в выбранной категории стоят дороже 226",""))))),"")</f>
      </c>
    </row>
    <row r="116">
      <c r="A116" s="2" t="inlineStr">
        <is>
          <t>VitalEmb</t>
        </is>
      </c>
      <c r="B116" s="2" t="inlineStr">
        <is>
          <t>Декор для одежды</t>
        </is>
      </c>
      <c r="C116" s="2">
        <v>648283925</v>
      </c>
      <c r="D116" s="2" t="inlineStr">
        <is>
          <t>shtpict0002_222291</t>
        </is>
      </c>
      <c r="E116" s="2" t="inlineStr">
        <is>
          <t>2047478915557</t>
        </is>
      </c>
      <c r="F116" s="2">
        <v>18</v>
      </c>
      <c r="G116" s="2">
        <v>0</v>
      </c>
      <c r="H116" s="2">
        <v>276</v>
      </c>
      <c r="I116" s="2" t="inlineStr">
        <is>
          <t>1100</t>
        </is>
      </c>
      <c r="J116" s="4"/>
      <c r="K116" s="2">
        <v>57</v>
      </c>
      <c r="L116" s="6"/>
      <c r="M116" s="2" t="str">
        <f>IF(J116="",ROUND(I116*(1-IF(ISBLANK(L116),K116,L116)/100),2),ROUND(J116*(1-IF(ISBLANK(L116),K116,L116)/100),2))</f>
      </c>
      <c r="N116" s="7" t="str">
        <f>IF(NOT(AND(J116="",L116="")),IF(OR(AND(L116&lt;&gt;"",NOT(ISNUMBER(L116))),IFERROR(MOD(L116,1),1)&gt;0,AND(ISNUMBER(L116),OR(L116&lt;0,L116&gt;95))),"Введите целое число от 0 до 95",IF(OR(AND(J116&lt;&gt;"",NOT(ISNUMBER(J116))),IFERROR(MOD(J116,1),1)&gt;0,AND(ISNUMBER(J116),OR(J116&lt;50,J116&gt;20000000))),"Введите целое число от 50 до 20000000",IF(NOT(ABS(IFERROR(VALUE(LEFT(M116,FIND("-",M116)-1)),M116)*100-(2500+2000000000)/2)&lt;=ABS(2500-2000000000)/2),"Цена со скидкой должна быть от 25 до 20000000",IF(IFERROR(VALUE(LEFT(M116,FIND("-",M116)-1)),M116)*229&lt;47300,"Вы уменьшили цену в несколько раз, товар попадет в карантин цен",IF(AND(IFERROR(VALUE(I116),0)=0,ISNUMBER(J116),OR(J116&lt;226,ABS(IFERROR(VALUE(LEFT(M116,FIND("-",M116)-1)),M116))*100&lt;22600)),"Проверьте цену товара. Большинство товаров в выбранной категории стоят дороже 226",""))))),"")</f>
      </c>
    </row>
    <row r="117">
      <c r="A117" s="2" t="inlineStr">
        <is>
          <t>VitalEmb</t>
        </is>
      </c>
      <c r="B117" s="2" t="inlineStr">
        <is>
          <t>Декор для одежды</t>
        </is>
      </c>
      <c r="C117" s="2">
        <v>612085421</v>
      </c>
      <c r="D117" s="2" t="inlineStr">
        <is>
          <t>pzngmh0020_222725</t>
        </is>
      </c>
      <c r="E117" s="2" t="inlineStr">
        <is>
          <t>2047240741278</t>
        </is>
      </c>
      <c r="F117" s="2">
        <v>17</v>
      </c>
      <c r="G117" s="2">
        <v>0</v>
      </c>
      <c r="H117" s="2">
        <v>999</v>
      </c>
      <c r="I117" s="2" t="inlineStr">
        <is>
          <t>1100</t>
        </is>
      </c>
      <c r="J117" s="4"/>
      <c r="K117" s="2">
        <v>63</v>
      </c>
      <c r="L117" s="6"/>
      <c r="M117" s="2" t="str">
        <f>IF(J117="",ROUND(I117*(1-IF(ISBLANK(L117),K117,L117)/100),2),ROUND(J117*(1-IF(ISBLANK(L117),K117,L117)/100),2))</f>
      </c>
      <c r="N117" s="7" t="str">
        <f>IF(NOT(AND(J117="",L117="")),IF(OR(AND(L117&lt;&gt;"",NOT(ISNUMBER(L117))),IFERROR(MOD(L117,1),1)&gt;0,AND(ISNUMBER(L117),OR(L117&lt;0,L117&gt;95))),"Введите целое число от 0 до 95",IF(OR(AND(J117&lt;&gt;"",NOT(ISNUMBER(J117))),IFERROR(MOD(J117,1),1)&gt;0,AND(ISNUMBER(J117),OR(J117&lt;50,J117&gt;20000000))),"Введите целое число от 50 до 20000000",IF(NOT(ABS(IFERROR(VALUE(LEFT(M117,FIND("-",M117)-1)),M117)*100-(2500+2000000000)/2)&lt;=ABS(2500-2000000000)/2),"Цена со скидкой должна быть от 25 до 20000000",IF(IFERROR(VALUE(LEFT(M117,FIND("-",M117)-1)),M117)*229&lt;40700,"Вы уменьшили цену в несколько раз, товар попадет в карантин цен",IF(AND(IFERROR(VALUE(I117),0)=0,ISNUMBER(J117),OR(J117&lt;226,ABS(IFERROR(VALUE(LEFT(M117,FIND("-",M117)-1)),M117))*100&lt;22600)),"Проверьте цену товара. Большинство товаров в выбранной категории стоят дороже 226",""))))),"")</f>
      </c>
    </row>
    <row r="118">
      <c r="A118" s="2" t="inlineStr">
        <is>
          <t>VitalEmb</t>
        </is>
      </c>
      <c r="B118" s="2" t="inlineStr">
        <is>
          <t>Декор для одежды</t>
        </is>
      </c>
      <c r="C118" s="2">
        <v>613116150</v>
      </c>
      <c r="D118" s="2" t="inlineStr">
        <is>
          <t>pzngol0039_222421</t>
        </is>
      </c>
      <c r="E118" s="2" t="inlineStr">
        <is>
          <t>2047257237573</t>
        </is>
      </c>
      <c r="F118" s="2">
        <v>14</v>
      </c>
      <c r="G118" s="2">
        <v>0</v>
      </c>
      <c r="H118" s="2">
        <v>96</v>
      </c>
      <c r="I118" s="2" t="inlineStr">
        <is>
          <t>1100</t>
        </is>
      </c>
      <c r="J118" s="4"/>
      <c r="K118" s="2">
        <v>63</v>
      </c>
      <c r="L118" s="6"/>
      <c r="M118" s="2" t="str">
        <f>IF(J118="",ROUND(I118*(1-IF(ISBLANK(L118),K118,L118)/100),2),ROUND(J118*(1-IF(ISBLANK(L118),K118,L118)/100),2))</f>
      </c>
      <c r="N118" s="7" t="str">
        <f>IF(NOT(AND(J118="",L118="")),IF(OR(AND(L118&lt;&gt;"",NOT(ISNUMBER(L118))),IFERROR(MOD(L118,1),1)&gt;0,AND(ISNUMBER(L118),OR(L118&lt;0,L118&gt;95))),"Введите целое число от 0 до 95",IF(OR(AND(J118&lt;&gt;"",NOT(ISNUMBER(J118))),IFERROR(MOD(J118,1),1)&gt;0,AND(ISNUMBER(J118),OR(J118&lt;50,J118&gt;20000000))),"Введите целое число от 50 до 20000000",IF(NOT(ABS(IFERROR(VALUE(LEFT(M118,FIND("-",M118)-1)),M118)*100-(2500+2000000000)/2)&lt;=ABS(2500-2000000000)/2),"Цена со скидкой должна быть от 25 до 20000000",IF(IFERROR(VALUE(LEFT(M118,FIND("-",M118)-1)),M118)*229&lt;40700,"Вы уменьшили цену в несколько раз, товар попадет в карантин цен",IF(AND(IFERROR(VALUE(I118),0)=0,ISNUMBER(J118),OR(J118&lt;226,ABS(IFERROR(VALUE(LEFT(M118,FIND("-",M118)-1)),M118))*100&lt;22600)),"Проверьте цену товара. Большинство товаров в выбранной категории стоят дороже 226",""))))),"")</f>
      </c>
    </row>
    <row r="119">
      <c r="A119" s="2" t="inlineStr">
        <is>
          <t>VitalEmb</t>
        </is>
      </c>
      <c r="B119" s="2" t="inlineStr">
        <is>
          <t>Декор для одежды</t>
        </is>
      </c>
      <c r="C119" s="2">
        <v>593441430</v>
      </c>
      <c r="D119" s="2" t="inlineStr">
        <is>
          <t>fsinback0002_back0009_222616</t>
        </is>
      </c>
      <c r="E119" s="2" t="inlineStr">
        <is>
          <t>2047051073339</t>
        </is>
      </c>
      <c r="F119" s="2">
        <v>5</v>
      </c>
      <c r="G119" s="2">
        <v>0</v>
      </c>
      <c r="H119" s="2">
        <v>62</v>
      </c>
      <c r="I119" s="2" t="inlineStr">
        <is>
          <t>1500</t>
        </is>
      </c>
      <c r="J119" s="4"/>
      <c r="K119" s="2">
        <v>65</v>
      </c>
      <c r="L119" s="6"/>
      <c r="M119" s="2" t="str">
        <f>IF(J119="",ROUND(I119*(1-IF(ISBLANK(L119),K119,L119)/100),2),ROUND(J119*(1-IF(ISBLANK(L119),K119,L119)/100),2))</f>
      </c>
      <c r="N119" s="7" t="str">
        <f>IF(NOT(AND(J119="",L119="")),IF(OR(AND(L119&lt;&gt;"",NOT(ISNUMBER(L119))),IFERROR(MOD(L119,1),1)&gt;0,AND(ISNUMBER(L119),OR(L119&lt;0,L119&gt;95))),"Введите целое число от 0 до 95",IF(OR(AND(J119&lt;&gt;"",NOT(ISNUMBER(J119))),IFERROR(MOD(J119,1),1)&gt;0,AND(ISNUMBER(J119),OR(J119&lt;50,J119&gt;20000000))),"Введите целое число от 50 до 20000000",IF(NOT(ABS(IFERROR(VALUE(LEFT(M119,FIND("-",M119)-1)),M119)*100-(2500+2000000000)/2)&lt;=ABS(2500-2000000000)/2),"Цена со скидкой должна быть от 25 до 20000000",IF(IFERROR(VALUE(LEFT(M119,FIND("-",M119)-1)),M119)*229&lt;52500,"Вы уменьшили цену в несколько раз, товар попадет в карантин цен",IF(AND(IFERROR(VALUE(I119),0)=0,ISNUMBER(J119),OR(J119&lt;226,ABS(IFERROR(VALUE(LEFT(M119,FIND("-",M119)-1)),M119))*100&lt;22600)),"Проверьте цену товара. Большинство товаров в выбранной категории стоят дороже 226",""))))),"")</f>
      </c>
    </row>
    <row r="120">
      <c r="A120" s="2" t="inlineStr">
        <is>
          <t>VitalEmb</t>
        </is>
      </c>
      <c r="B120" s="2" t="inlineStr">
        <is>
          <t>Декор для одежды</t>
        </is>
      </c>
      <c r="C120" s="2">
        <v>600616081</v>
      </c>
      <c r="D120" s="2" t="inlineStr">
        <is>
          <t>shtpict0005_pict0169</t>
        </is>
      </c>
      <c r="E120" s="2" t="inlineStr">
        <is>
          <t>2047128889337</t>
        </is>
      </c>
      <c r="F120" s="2">
        <v>16</v>
      </c>
      <c r="G120" s="2">
        <v>0</v>
      </c>
      <c r="H120" s="2">
        <v>999</v>
      </c>
      <c r="I120" s="2" t="inlineStr">
        <is>
          <t>1100</t>
        </is>
      </c>
      <c r="J120" s="4"/>
      <c r="K120" s="2">
        <v>60</v>
      </c>
      <c r="L120" s="6"/>
      <c r="M120" s="2" t="str">
        <f>IF(J120="",ROUND(I120*(1-IF(ISBLANK(L120),K120,L120)/100),2),ROUND(J120*(1-IF(ISBLANK(L120),K120,L120)/100),2))</f>
      </c>
      <c r="N120" s="7" t="str">
        <f>IF(NOT(AND(J120="",L120="")),IF(OR(AND(L120&lt;&gt;"",NOT(ISNUMBER(L120))),IFERROR(MOD(L120,1),1)&gt;0,AND(ISNUMBER(L120),OR(L120&lt;0,L120&gt;95))),"Введите целое число от 0 до 95",IF(OR(AND(J120&lt;&gt;"",NOT(ISNUMBER(J120))),IFERROR(MOD(J120,1),1)&gt;0,AND(ISNUMBER(J120),OR(J120&lt;50,J120&gt;20000000))),"Введите целое число от 50 до 20000000",IF(NOT(ABS(IFERROR(VALUE(LEFT(M120,FIND("-",M120)-1)),M120)*100-(2500+2000000000)/2)&lt;=ABS(2500-2000000000)/2),"Цена со скидкой должна быть от 25 до 20000000",IF(IFERROR(VALUE(LEFT(M120,FIND("-",M120)-1)),M120)*229&lt;44000,"Вы уменьшили цену в несколько раз, товар попадет в карантин цен",IF(AND(IFERROR(VALUE(I120),0)=0,ISNUMBER(J120),OR(J120&lt;226,ABS(IFERROR(VALUE(LEFT(M120,FIND("-",M120)-1)),M120))*100&lt;22600)),"Проверьте цену товара. Большинство товаров в выбранной категории стоят дороже 226",""))))),"")</f>
      </c>
    </row>
    <row r="121">
      <c r="A121" s="2" t="inlineStr">
        <is>
          <t>VitalEmb</t>
        </is>
      </c>
      <c r="B121" s="2" t="inlineStr">
        <is>
          <t>Декор для одежды</t>
        </is>
      </c>
      <c r="C121" s="2">
        <v>593429215</v>
      </c>
      <c r="D121" s="2" t="inlineStr">
        <is>
          <t>fsinloop20001_loop0015_222672</t>
        </is>
      </c>
      <c r="E121" s="2" t="inlineStr">
        <is>
          <t>2047050861319</t>
        </is>
      </c>
      <c r="F121" s="2">
        <v>5</v>
      </c>
      <c r="G121" s="2">
        <v>0</v>
      </c>
      <c r="H121" s="2">
        <v>38</v>
      </c>
      <c r="I121" s="2" t="inlineStr">
        <is>
          <t>1000</t>
        </is>
      </c>
      <c r="J121" s="4"/>
      <c r="K121" s="2">
        <v>66</v>
      </c>
      <c r="L121" s="6"/>
      <c r="M121" s="2" t="str">
        <f>IF(J121="",ROUND(I121*(1-IF(ISBLANK(L121),K121,L121)/100),2),ROUND(J121*(1-IF(ISBLANK(L121),K121,L121)/100),2))</f>
      </c>
      <c r="N121" s="7" t="str">
        <f>IF(NOT(AND(J121="",L121="")),IF(OR(AND(L121&lt;&gt;"",NOT(ISNUMBER(L121))),IFERROR(MOD(L121,1),1)&gt;0,AND(ISNUMBER(L121),OR(L121&lt;0,L121&gt;95))),"Введите целое число от 0 до 95",IF(OR(AND(J121&lt;&gt;"",NOT(ISNUMBER(J121))),IFERROR(MOD(J121,1),1)&gt;0,AND(ISNUMBER(J121),OR(J121&lt;50,J121&gt;20000000))),"Введите целое число от 50 до 20000000",IF(NOT(ABS(IFERROR(VALUE(LEFT(M121,FIND("-",M121)-1)),M121)*100-(2500+2000000000)/2)&lt;=ABS(2500-2000000000)/2),"Цена со скидкой должна быть от 25 до 20000000",IF(IFERROR(VALUE(LEFT(M121,FIND("-",M121)-1)),M121)*229&lt;33999,"Вы уменьшили цену в несколько раз, товар попадет в карантин цен",IF(AND(IFERROR(VALUE(I121),0)=0,ISNUMBER(J121),OR(J121&lt;226,ABS(IFERROR(VALUE(LEFT(M121,FIND("-",M121)-1)),M121))*100&lt;22600)),"Проверьте цену товара. Большинство товаров в выбранной категории стоят дороже 226",""))))),"")</f>
      </c>
    </row>
    <row r="122">
      <c r="A122" s="2" t="inlineStr">
        <is>
          <t>VitalEmb</t>
        </is>
      </c>
      <c r="B122" s="2" t="inlineStr">
        <is>
          <t>Декор для одежды</t>
        </is>
      </c>
      <c r="C122" s="2">
        <v>613107776</v>
      </c>
      <c r="D122" s="2" t="inlineStr">
        <is>
          <t>pzngol0038_222180</t>
        </is>
      </c>
      <c r="E122" s="2" t="inlineStr">
        <is>
          <t>2047257018592</t>
        </is>
      </c>
      <c r="F122" s="2">
        <v>18</v>
      </c>
      <c r="G122" s="2">
        <v>0</v>
      </c>
      <c r="H122" s="2">
        <v>546</v>
      </c>
      <c r="I122" s="2" t="inlineStr">
        <is>
          <t>1100</t>
        </is>
      </c>
      <c r="J122" s="4"/>
      <c r="K122" s="2">
        <v>63</v>
      </c>
      <c r="L122" s="6"/>
      <c r="M122" s="2" t="str">
        <f>IF(J122="",ROUND(I122*(1-IF(ISBLANK(L122),K122,L122)/100),2),ROUND(J122*(1-IF(ISBLANK(L122),K122,L122)/100),2))</f>
      </c>
      <c r="N122" s="7" t="str">
        <f>IF(NOT(AND(J122="",L122="")),IF(OR(AND(L122&lt;&gt;"",NOT(ISNUMBER(L122))),IFERROR(MOD(L122,1),1)&gt;0,AND(ISNUMBER(L122),OR(L122&lt;0,L122&gt;95))),"Введите целое число от 0 до 95",IF(OR(AND(J122&lt;&gt;"",NOT(ISNUMBER(J122))),IFERROR(MOD(J122,1),1)&gt;0,AND(ISNUMBER(J122),OR(J122&lt;50,J122&gt;20000000))),"Введите целое число от 50 до 20000000",IF(NOT(ABS(IFERROR(VALUE(LEFT(M122,FIND("-",M122)-1)),M122)*100-(2500+2000000000)/2)&lt;=ABS(2500-2000000000)/2),"Цена со скидкой должна быть от 25 до 20000000",IF(IFERROR(VALUE(LEFT(M122,FIND("-",M122)-1)),M122)*229&lt;40700,"Вы уменьшили цену в несколько раз, товар попадет в карантин цен",IF(AND(IFERROR(VALUE(I122),0)=0,ISNUMBER(J122),OR(J122&lt;226,ABS(IFERROR(VALUE(LEFT(M122,FIND("-",M122)-1)),M122))*100&lt;22600)),"Проверьте цену товара. Большинство товаров в выбранной категории стоят дороже 226",""))))),"")</f>
      </c>
    </row>
    <row r="123">
      <c r="A123" s="2" t="inlineStr">
        <is>
          <t>VitalEmb</t>
        </is>
      </c>
      <c r="B123" s="2" t="inlineStr">
        <is>
          <t>Декор для одежды</t>
        </is>
      </c>
      <c r="C123" s="2">
        <v>591171304</v>
      </c>
      <c r="D123" s="2" t="inlineStr">
        <is>
          <t>vshng0001_form0032_222477</t>
        </is>
      </c>
      <c r="E123" s="2" t="inlineStr">
        <is>
          <t>2047030524272</t>
        </is>
      </c>
      <c r="F123" s="2">
        <v>22</v>
      </c>
      <c r="G123" s="2">
        <v>0</v>
      </c>
      <c r="H123" s="2">
        <v>712</v>
      </c>
      <c r="I123" s="2" t="inlineStr">
        <is>
          <t>1100</t>
        </is>
      </c>
      <c r="J123" s="4"/>
      <c r="K123" s="2">
        <v>65</v>
      </c>
      <c r="L123" s="6"/>
      <c r="M123" s="2" t="str">
        <f>IF(J123="",ROUND(I123*(1-IF(ISBLANK(L123),K123,L123)/100),2),ROUND(J123*(1-IF(ISBLANK(L123),K123,L123)/100),2))</f>
      </c>
      <c r="N123" s="7" t="str">
        <f>IF(NOT(AND(J123="",L123="")),IF(OR(AND(L123&lt;&gt;"",NOT(ISNUMBER(L123))),IFERROR(MOD(L123,1),1)&gt;0,AND(ISNUMBER(L123),OR(L123&lt;0,L123&gt;95))),"Введите целое число от 0 до 95",IF(OR(AND(J123&lt;&gt;"",NOT(ISNUMBER(J123))),IFERROR(MOD(J123,1),1)&gt;0,AND(ISNUMBER(J123),OR(J123&lt;50,J123&gt;20000000))),"Введите целое число от 50 до 20000000",IF(NOT(ABS(IFERROR(VALUE(LEFT(M123,FIND("-",M123)-1)),M123)*100-(2500+2000000000)/2)&lt;=ABS(2500-2000000000)/2),"Цена со скидкой должна быть от 25 до 20000000",IF(IFERROR(VALUE(LEFT(M123,FIND("-",M123)-1)),M123)*229&lt;38500,"Вы уменьшили цену в несколько раз, товар попадет в карантин цен",IF(AND(IFERROR(VALUE(I123),0)=0,ISNUMBER(J123),OR(J123&lt;226,ABS(IFERROR(VALUE(LEFT(M123,FIND("-",M123)-1)),M123))*100&lt;22600)),"Проверьте цену товара. Большинство товаров в выбранной категории стоят дороже 226",""))))),"")</f>
      </c>
    </row>
    <row r="124">
      <c r="A124" s="2" t="inlineStr">
        <is>
          <t>VitalEmb</t>
        </is>
      </c>
      <c r="B124" s="2" t="inlineStr">
        <is>
          <t>Декор для одежды</t>
        </is>
      </c>
      <c r="C124" s="2">
        <v>593333244</v>
      </c>
      <c r="D124" s="2" t="inlineStr">
        <is>
          <t>pzkit2mh0005_pzmh0047</t>
        </is>
      </c>
      <c r="E124" s="2" t="inlineStr">
        <is>
          <t>2047049477972</t>
        </is>
      </c>
      <c r="F124" s="2">
        <v>18</v>
      </c>
      <c r="G124" s="2">
        <v>0</v>
      </c>
      <c r="H124" s="2">
        <v>295</v>
      </c>
      <c r="I124" s="2" t="inlineStr">
        <is>
          <t>2000</t>
        </is>
      </c>
      <c r="J124" s="4"/>
      <c r="K124" s="2">
        <v>65</v>
      </c>
      <c r="L124" s="6"/>
      <c r="M124" s="2" t="str">
        <f>IF(J124="",ROUND(I124*(1-IF(ISBLANK(L124),K124,L124)/100),2),ROUND(J124*(1-IF(ISBLANK(L124),K124,L124)/100),2))</f>
      </c>
      <c r="N124" s="7" t="str">
        <f>IF(NOT(AND(J124="",L124="")),IF(OR(AND(L124&lt;&gt;"",NOT(ISNUMBER(L124))),IFERROR(MOD(L124,1),1)&gt;0,AND(ISNUMBER(L124),OR(L124&lt;0,L124&gt;95))),"Введите целое число от 0 до 95",IF(OR(AND(J124&lt;&gt;"",NOT(ISNUMBER(J124))),IFERROR(MOD(J124,1),1)&gt;0,AND(ISNUMBER(J124),OR(J124&lt;50,J124&gt;20000000))),"Введите целое число от 50 до 20000000",IF(NOT(ABS(IFERROR(VALUE(LEFT(M124,FIND("-",M124)-1)),M124)*100-(2500+2000000000)/2)&lt;=ABS(2500-2000000000)/2),"Цена со скидкой должна быть от 25 до 20000000",IF(IFERROR(VALUE(LEFT(M124,FIND("-",M124)-1)),M124)*229&lt;70000,"Вы уменьшили цену в несколько раз, товар попадет в карантин цен",IF(AND(IFERROR(VALUE(I124),0)=0,ISNUMBER(J124),OR(J124&lt;226,ABS(IFERROR(VALUE(LEFT(M124,FIND("-",M124)-1)),M124))*100&lt;22600)),"Проверьте цену товара. Большинство товаров в выбранной категории стоят дороже 226",""))))),"")</f>
      </c>
    </row>
    <row r="125">
      <c r="A125" s="2" t="inlineStr">
        <is>
          <t>VitalEmb</t>
        </is>
      </c>
      <c r="B125" s="2" t="inlineStr">
        <is>
          <t>Декор для одежды</t>
        </is>
      </c>
      <c r="C125" s="2">
        <v>605267543</v>
      </c>
      <c r="D125" s="2" t="inlineStr">
        <is>
          <t>shtpict0011_pict0141</t>
        </is>
      </c>
      <c r="E125" s="2" t="inlineStr">
        <is>
          <t>2047173002590</t>
        </is>
      </c>
      <c r="F125" s="2">
        <v>8</v>
      </c>
      <c r="G125" s="2">
        <v>0</v>
      </c>
      <c r="H125" s="2">
        <v>999</v>
      </c>
      <c r="I125" s="2" t="inlineStr">
        <is>
          <t>1100</t>
        </is>
      </c>
      <c r="J125" s="4"/>
      <c r="K125" s="2">
        <v>63</v>
      </c>
      <c r="L125" s="6"/>
      <c r="M125" s="2" t="str">
        <f>IF(J125="",ROUND(I125*(1-IF(ISBLANK(L125),K125,L125)/100),2),ROUND(J125*(1-IF(ISBLANK(L125),K125,L125)/100),2))</f>
      </c>
      <c r="N125" s="7" t="str">
        <f>IF(NOT(AND(J125="",L125="")),IF(OR(AND(L125&lt;&gt;"",NOT(ISNUMBER(L125))),IFERROR(MOD(L125,1),1)&gt;0,AND(ISNUMBER(L125),OR(L125&lt;0,L125&gt;95))),"Введите целое число от 0 до 95",IF(OR(AND(J125&lt;&gt;"",NOT(ISNUMBER(J125))),IFERROR(MOD(J125,1),1)&gt;0,AND(ISNUMBER(J125),OR(J125&lt;50,J125&gt;20000000))),"Введите целое число от 50 до 20000000",IF(NOT(ABS(IFERROR(VALUE(LEFT(M125,FIND("-",M125)-1)),M125)*100-(2500+2000000000)/2)&lt;=ABS(2500-2000000000)/2),"Цена со скидкой должна быть от 25 до 20000000",IF(IFERROR(VALUE(LEFT(M125,FIND("-",M125)-1)),M125)*229&lt;40700,"Вы уменьшили цену в несколько раз, товар попадет в карантин цен",IF(AND(IFERROR(VALUE(I125),0)=0,ISNUMBER(J125),OR(J125&lt;226,ABS(IFERROR(VALUE(LEFT(M125,FIND("-",M125)-1)),M125))*100&lt;22600)),"Проверьте цену товара. Большинство товаров в выбранной категории стоят дороже 226",""))))),"")</f>
      </c>
    </row>
    <row r="126">
      <c r="A126" s="2" t="inlineStr">
        <is>
          <t>VitalEmb</t>
        </is>
      </c>
      <c r="B126" s="2" t="inlineStr">
        <is>
          <t>Декор для одежды</t>
        </is>
      </c>
      <c r="C126" s="2">
        <v>593351898</v>
      </c>
      <c r="D126" s="2" t="inlineStr">
        <is>
          <t>pzkit2mh0014_pzmh0042</t>
        </is>
      </c>
      <c r="E126" s="2" t="inlineStr">
        <is>
          <t>2047049813541</t>
        </is>
      </c>
      <c r="F126" s="2">
        <v>12</v>
      </c>
      <c r="G126" s="2">
        <v>0</v>
      </c>
      <c r="H126" s="2">
        <v>18</v>
      </c>
      <c r="I126" s="2" t="inlineStr">
        <is>
          <t>2000</t>
        </is>
      </c>
      <c r="J126" s="4"/>
      <c r="K126" s="2">
        <v>65</v>
      </c>
      <c r="L126" s="6"/>
      <c r="M126" s="2" t="str">
        <f>IF(J126="",ROUND(I126*(1-IF(ISBLANK(L126),K126,L126)/100),2),ROUND(J126*(1-IF(ISBLANK(L126),K126,L126)/100),2))</f>
      </c>
      <c r="N126" s="7" t="str">
        <f>IF(NOT(AND(J126="",L126="")),IF(OR(AND(L126&lt;&gt;"",NOT(ISNUMBER(L126))),IFERROR(MOD(L126,1),1)&gt;0,AND(ISNUMBER(L126),OR(L126&lt;0,L126&gt;95))),"Введите целое число от 0 до 95",IF(OR(AND(J126&lt;&gt;"",NOT(ISNUMBER(J126))),IFERROR(MOD(J126,1),1)&gt;0,AND(ISNUMBER(J126),OR(J126&lt;50,J126&gt;20000000))),"Введите целое число от 50 до 20000000",IF(NOT(ABS(IFERROR(VALUE(LEFT(M126,FIND("-",M126)-1)),M126)*100-(2500+2000000000)/2)&lt;=ABS(2500-2000000000)/2),"Цена со скидкой должна быть от 25 до 20000000",IF(IFERROR(VALUE(LEFT(M126,FIND("-",M126)-1)),M126)*229&lt;70000,"Вы уменьшили цену в несколько раз, товар попадет в карантин цен",IF(AND(IFERROR(VALUE(I126),0)=0,ISNUMBER(J126),OR(J126&lt;226,ABS(IFERROR(VALUE(LEFT(M126,FIND("-",M126)-1)),M126))*100&lt;22600)),"Проверьте цену товара. Большинство товаров в выбранной категории стоят дороже 226",""))))),"")</f>
      </c>
    </row>
    <row r="127">
      <c r="A127" s="2" t="inlineStr">
        <is>
          <t>VitalEmb</t>
        </is>
      </c>
      <c r="B127" s="2" t="inlineStr">
        <is>
          <t>Декор для одежды</t>
        </is>
      </c>
      <c r="C127" s="2">
        <v>612407140</v>
      </c>
      <c r="D127" s="2" t="inlineStr">
        <is>
          <t>pzngol0027_223166</t>
        </is>
      </c>
      <c r="E127" s="2" t="inlineStr">
        <is>
          <t>2047245769802</t>
        </is>
      </c>
      <c r="F127" s="2">
        <v>21</v>
      </c>
      <c r="G127" s="2">
        <v>0</v>
      </c>
      <c r="H127" s="2">
        <v>999</v>
      </c>
      <c r="I127" s="2" t="inlineStr">
        <is>
          <t>1100</t>
        </is>
      </c>
      <c r="J127" s="4"/>
      <c r="K127" s="2">
        <v>63</v>
      </c>
      <c r="L127" s="6"/>
      <c r="M127" s="2" t="str">
        <f>IF(J127="",ROUND(I127*(1-IF(ISBLANK(L127),K127,L127)/100),2),ROUND(J127*(1-IF(ISBLANK(L127),K127,L127)/100),2))</f>
      </c>
      <c r="N127" s="7" t="str">
        <f>IF(NOT(AND(J127="",L127="")),IF(OR(AND(L127&lt;&gt;"",NOT(ISNUMBER(L127))),IFERROR(MOD(L127,1),1)&gt;0,AND(ISNUMBER(L127),OR(L127&lt;0,L127&gt;95))),"Введите целое число от 0 до 95",IF(OR(AND(J127&lt;&gt;"",NOT(ISNUMBER(J127))),IFERROR(MOD(J127,1),1)&gt;0,AND(ISNUMBER(J127),OR(J127&lt;50,J127&gt;20000000))),"Введите целое число от 50 до 20000000",IF(NOT(ABS(IFERROR(VALUE(LEFT(M127,FIND("-",M127)-1)),M127)*100-(2500+2000000000)/2)&lt;=ABS(2500-2000000000)/2),"Цена со скидкой должна быть от 25 до 20000000",IF(IFERROR(VALUE(LEFT(M127,FIND("-",M127)-1)),M127)*229&lt;40700,"Вы уменьшили цену в несколько раз, товар попадет в карантин цен",IF(AND(IFERROR(VALUE(I127),0)=0,ISNUMBER(J127),OR(J127&lt;226,ABS(IFERROR(VALUE(LEFT(M127,FIND("-",M127)-1)),M127))*100&lt;22600)),"Проверьте цену товара. Большинство товаров в выбранной категории стоят дороже 226",""))))),"")</f>
      </c>
    </row>
    <row r="128">
      <c r="A128" s="2" t="inlineStr">
        <is>
          <t>VitalEmb</t>
        </is>
      </c>
      <c r="B128" s="2" t="inlineStr">
        <is>
          <t>Декор для одежды</t>
        </is>
      </c>
      <c r="C128" s="2">
        <v>605231633</v>
      </c>
      <c r="D128" s="2" t="inlineStr">
        <is>
          <t>shttext0001_text0015</t>
        </is>
      </c>
      <c r="E128" s="2" t="inlineStr">
        <is>
          <t>2047172473001</t>
        </is>
      </c>
      <c r="F128" s="2">
        <v>18</v>
      </c>
      <c r="G128" s="2">
        <v>0</v>
      </c>
      <c r="H128" s="2">
        <v>999</v>
      </c>
      <c r="I128" s="2" t="inlineStr">
        <is>
          <t>1100</t>
        </is>
      </c>
      <c r="J128" s="4"/>
      <c r="K128" s="2">
        <v>63</v>
      </c>
      <c r="L128" s="6"/>
      <c r="M128" s="2" t="str">
        <f>IF(J128="",ROUND(I128*(1-IF(ISBLANK(L128),K128,L128)/100),2),ROUND(J128*(1-IF(ISBLANK(L128),K128,L128)/100),2))</f>
      </c>
      <c r="N128" s="7" t="str">
        <f>IF(NOT(AND(J128="",L128="")),IF(OR(AND(L128&lt;&gt;"",NOT(ISNUMBER(L128))),IFERROR(MOD(L128,1),1)&gt;0,AND(ISNUMBER(L128),OR(L128&lt;0,L128&gt;95))),"Введите целое число от 0 до 95",IF(OR(AND(J128&lt;&gt;"",NOT(ISNUMBER(J128))),IFERROR(MOD(J128,1),1)&gt;0,AND(ISNUMBER(J128),OR(J128&lt;50,J128&gt;20000000))),"Введите целое число от 50 до 20000000",IF(NOT(ABS(IFERROR(VALUE(LEFT(M128,FIND("-",M128)-1)),M128)*100-(2500+2000000000)/2)&lt;=ABS(2500-2000000000)/2),"Цена со скидкой должна быть от 25 до 20000000",IF(IFERROR(VALUE(LEFT(M128,FIND("-",M128)-1)),M128)*229&lt;40700,"Вы уменьшили цену в несколько раз, товар попадет в карантин цен",IF(AND(IFERROR(VALUE(I128),0)=0,ISNUMBER(J128),OR(J128&lt;226,ABS(IFERROR(VALUE(LEFT(M128,FIND("-",M128)-1)),M128))*100&lt;22600)),"Проверьте цену товара. Большинство товаров в выбранной категории стоят дороже 226",""))))),"")</f>
      </c>
    </row>
    <row r="129">
      <c r="A129" s="2" t="inlineStr">
        <is>
          <t>VitalEmb</t>
        </is>
      </c>
      <c r="B129" s="2" t="inlineStr">
        <is>
          <t>Декор для одежды</t>
        </is>
      </c>
      <c r="C129" s="2">
        <v>607720773</v>
      </c>
      <c r="D129" s="2" t="inlineStr">
        <is>
          <t>grvspict0006_222252</t>
        </is>
      </c>
      <c r="E129" s="2" t="inlineStr">
        <is>
          <t>2047197454979</t>
        </is>
      </c>
      <c r="F129" s="2">
        <v>6</v>
      </c>
      <c r="G129" s="2">
        <v>0</v>
      </c>
      <c r="H129" s="2">
        <v>79</v>
      </c>
      <c r="I129" s="2" t="inlineStr">
        <is>
          <t>1100</t>
        </is>
      </c>
      <c r="J129" s="4"/>
      <c r="K129" s="2">
        <v>63</v>
      </c>
      <c r="L129" s="6"/>
      <c r="M129" s="2" t="str">
        <f>IF(J129="",ROUND(I129*(1-IF(ISBLANK(L129),K129,L129)/100),2),ROUND(J129*(1-IF(ISBLANK(L129),K129,L129)/100),2))</f>
      </c>
      <c r="N129" s="7" t="str">
        <f>IF(NOT(AND(J129="",L129="")),IF(OR(AND(L129&lt;&gt;"",NOT(ISNUMBER(L129))),IFERROR(MOD(L129,1),1)&gt;0,AND(ISNUMBER(L129),OR(L129&lt;0,L129&gt;95))),"Введите целое число от 0 до 95",IF(OR(AND(J129&lt;&gt;"",NOT(ISNUMBER(J129))),IFERROR(MOD(J129,1),1)&gt;0,AND(ISNUMBER(J129),OR(J129&lt;50,J129&gt;20000000))),"Введите целое число от 50 до 20000000",IF(NOT(ABS(IFERROR(VALUE(LEFT(M129,FIND("-",M129)-1)),M129)*100-(2500+2000000000)/2)&lt;=ABS(2500-2000000000)/2),"Цена со скидкой должна быть от 25 до 20000000",IF(IFERROR(VALUE(LEFT(M129,FIND("-",M129)-1)),M129)*229&lt;40700,"Вы уменьшили цену в несколько раз, товар попадет в карантин цен",IF(AND(IFERROR(VALUE(I129),0)=0,ISNUMBER(J129),OR(J129&lt;226,ABS(IFERROR(VALUE(LEFT(M129,FIND("-",M129)-1)),M129))*100&lt;22600)),"Проверьте цену товара. Большинство товаров в выбранной категории стоят дороже 226",""))))),"")</f>
      </c>
    </row>
    <row r="130">
      <c r="A130" s="2" t="inlineStr">
        <is>
          <t>VitalEmb</t>
        </is>
      </c>
      <c r="B130" s="2" t="inlineStr">
        <is>
          <t>Декор для одежды</t>
        </is>
      </c>
      <c r="C130" s="2">
        <v>593342198</v>
      </c>
      <c r="D130" s="2" t="inlineStr">
        <is>
          <t>pzkit2mh0010_pzmh0036</t>
        </is>
      </c>
      <c r="E130" s="2" t="inlineStr">
        <is>
          <t>2047049635327</t>
        </is>
      </c>
      <c r="F130" s="2">
        <v>17</v>
      </c>
      <c r="G130" s="2">
        <v>0</v>
      </c>
      <c r="H130" s="2">
        <v>275</v>
      </c>
      <c r="I130" s="2" t="inlineStr">
        <is>
          <t>2000</t>
        </is>
      </c>
      <c r="J130" s="4"/>
      <c r="K130" s="2">
        <v>60</v>
      </c>
      <c r="L130" s="6"/>
      <c r="M130" s="2" t="str">
        <f>IF(J130="",ROUND(I130*(1-IF(ISBLANK(L130),K130,L130)/100),2),ROUND(J130*(1-IF(ISBLANK(L130),K130,L130)/100),2))</f>
      </c>
      <c r="N130" s="7" t="str">
        <f>IF(NOT(AND(J130="",L130="")),IF(OR(AND(L130&lt;&gt;"",NOT(ISNUMBER(L130))),IFERROR(MOD(L130,1),1)&gt;0,AND(ISNUMBER(L130),OR(L130&lt;0,L130&gt;95))),"Введите целое число от 0 до 95",IF(OR(AND(J130&lt;&gt;"",NOT(ISNUMBER(J130))),IFERROR(MOD(J130,1),1)&gt;0,AND(ISNUMBER(J130),OR(J130&lt;50,J130&gt;20000000))),"Введите целое число от 50 до 20000000",IF(NOT(ABS(IFERROR(VALUE(LEFT(M130,FIND("-",M130)-1)),M130)*100-(2500+2000000000)/2)&lt;=ABS(2500-2000000000)/2),"Цена со скидкой должна быть от 25 до 20000000",IF(IFERROR(VALUE(LEFT(M130,FIND("-",M130)-1)),M130)*229&lt;80000,"Вы уменьшили цену в несколько раз, товар попадет в карантин цен",IF(AND(IFERROR(VALUE(I130),0)=0,ISNUMBER(J130),OR(J130&lt;226,ABS(IFERROR(VALUE(LEFT(M130,FIND("-",M130)-1)),M130))*100&lt;22600)),"Проверьте цену товара. Большинство товаров в выбранной категории стоят дороже 226",""))))),"")</f>
      </c>
    </row>
    <row r="131">
      <c r="A131" s="2" t="inlineStr">
        <is>
          <t>VitalEmb</t>
        </is>
      </c>
      <c r="B131" s="2" t="inlineStr">
        <is>
          <t>Декор для одежды</t>
        </is>
      </c>
      <c r="C131" s="2">
        <v>600810872</v>
      </c>
      <c r="D131" s="2" t="inlineStr">
        <is>
          <t>shtpict0008_pict0164</t>
        </is>
      </c>
      <c r="E131" s="2" t="inlineStr">
        <is>
          <t>2047131928948</t>
        </is>
      </c>
      <c r="F131" s="2">
        <v>15</v>
      </c>
      <c r="G131" s="2">
        <v>0</v>
      </c>
      <c r="H131" s="2">
        <v>999</v>
      </c>
      <c r="I131" s="2" t="inlineStr">
        <is>
          <t>1100</t>
        </is>
      </c>
      <c r="J131" s="4"/>
      <c r="K131" s="2">
        <v>63</v>
      </c>
      <c r="L131" s="6"/>
      <c r="M131" s="2" t="str">
        <f>IF(J131="",ROUND(I131*(1-IF(ISBLANK(L131),K131,L131)/100),2),ROUND(J131*(1-IF(ISBLANK(L131),K131,L131)/100),2))</f>
      </c>
      <c r="N131" s="7" t="str">
        <f>IF(NOT(AND(J131="",L131="")),IF(OR(AND(L131&lt;&gt;"",NOT(ISNUMBER(L131))),IFERROR(MOD(L131,1),1)&gt;0,AND(ISNUMBER(L131),OR(L131&lt;0,L131&gt;95))),"Введите целое число от 0 до 95",IF(OR(AND(J131&lt;&gt;"",NOT(ISNUMBER(J131))),IFERROR(MOD(J131,1),1)&gt;0,AND(ISNUMBER(J131),OR(J131&lt;50,J131&gt;20000000))),"Введите целое число от 50 до 20000000",IF(NOT(ABS(IFERROR(VALUE(LEFT(M131,FIND("-",M131)-1)),M131)*100-(2500+2000000000)/2)&lt;=ABS(2500-2000000000)/2),"Цена со скидкой должна быть от 25 до 20000000",IF(IFERROR(VALUE(LEFT(M131,FIND("-",M131)-1)),M131)*229&lt;40700,"Вы уменьшили цену в несколько раз, товар попадет в карантин цен",IF(AND(IFERROR(VALUE(I131),0)=0,ISNUMBER(J131),OR(J131&lt;226,ABS(IFERROR(VALUE(LEFT(M131,FIND("-",M131)-1)),M131))*100&lt;22600)),"Проверьте цену товара. Большинство товаров в выбранной категории стоят дороже 226",""))))),"")</f>
      </c>
    </row>
    <row r="132">
      <c r="A132" s="2" t="inlineStr">
        <is>
          <t>VitalEmb</t>
        </is>
      </c>
      <c r="B132" s="2" t="inlineStr">
        <is>
          <t>Декор для одежды</t>
        </is>
      </c>
      <c r="C132" s="2">
        <v>600580069</v>
      </c>
      <c r="D132" s="2" t="inlineStr">
        <is>
          <t>oopict0014_pict0170_pict0170</t>
        </is>
      </c>
      <c r="E132" s="2" t="inlineStr">
        <is>
          <t>2047128037790</t>
        </is>
      </c>
      <c r="F132" s="2">
        <v>13</v>
      </c>
      <c r="G132" s="2">
        <v>0</v>
      </c>
      <c r="H132" s="2">
        <v>198</v>
      </c>
      <c r="I132" s="2" t="inlineStr">
        <is>
          <t>1100</t>
        </is>
      </c>
      <c r="J132" s="4"/>
      <c r="K132" s="2">
        <v>65</v>
      </c>
      <c r="L132" s="6"/>
      <c r="M132" s="2" t="str">
        <f>IF(J132="",ROUND(I132*(1-IF(ISBLANK(L132),K132,L132)/100),2),ROUND(J132*(1-IF(ISBLANK(L132),K132,L132)/100),2))</f>
      </c>
      <c r="N132" s="7" t="str">
        <f>IF(NOT(AND(J132="",L132="")),IF(OR(AND(L132&lt;&gt;"",NOT(ISNUMBER(L132))),IFERROR(MOD(L132,1),1)&gt;0,AND(ISNUMBER(L132),OR(L132&lt;0,L132&gt;95))),"Введите целое число от 0 до 95",IF(OR(AND(J132&lt;&gt;"",NOT(ISNUMBER(J132))),IFERROR(MOD(J132,1),1)&gt;0,AND(ISNUMBER(J132),OR(J132&lt;50,J132&gt;20000000))),"Введите целое число от 50 до 20000000",IF(NOT(ABS(IFERROR(VALUE(LEFT(M132,FIND("-",M132)-1)),M132)*100-(2500+2000000000)/2)&lt;=ABS(2500-2000000000)/2),"Цена со скидкой должна быть от 25 до 20000000",IF(IFERROR(VALUE(LEFT(M132,FIND("-",M132)-1)),M132)*229&lt;38500,"Вы уменьшили цену в несколько раз, товар попадет в карантин цен",IF(AND(IFERROR(VALUE(I132),0)=0,ISNUMBER(J132),OR(J132&lt;226,ABS(IFERROR(VALUE(LEFT(M132,FIND("-",M132)-1)),M132))*100&lt;22600)),"Проверьте цену товара. Большинство товаров в выбранной категории стоят дороже 226",""))))),"")</f>
      </c>
    </row>
    <row r="133">
      <c r="A133" s="2" t="inlineStr">
        <is>
          <t>VitalEmb</t>
        </is>
      </c>
      <c r="B133" s="2" t="inlineStr">
        <is>
          <t>Декор для одежды</t>
        </is>
      </c>
      <c r="C133" s="2">
        <v>595867163</v>
      </c>
      <c r="D133" s="2" t="inlineStr">
        <is>
          <t>brigpict0002_222910</t>
        </is>
      </c>
      <c r="E133" s="2" t="inlineStr">
        <is>
          <t>2047076064046</t>
        </is>
      </c>
      <c r="F133" s="2">
        <v>15</v>
      </c>
      <c r="G133" s="2">
        <v>0</v>
      </c>
      <c r="H133" s="2">
        <v>999</v>
      </c>
      <c r="I133" s="2" t="inlineStr">
        <is>
          <t>1100</t>
        </is>
      </c>
      <c r="J133" s="4"/>
      <c r="K133" s="2">
        <v>63</v>
      </c>
      <c r="L133" s="6"/>
      <c r="M133" s="2" t="str">
        <f>IF(J133="",ROUND(I133*(1-IF(ISBLANK(L133),K133,L133)/100),2),ROUND(J133*(1-IF(ISBLANK(L133),K133,L133)/100),2))</f>
      </c>
      <c r="N133" s="7" t="str">
        <f>IF(NOT(AND(J133="",L133="")),IF(OR(AND(L133&lt;&gt;"",NOT(ISNUMBER(L133))),IFERROR(MOD(L133,1),1)&gt;0,AND(ISNUMBER(L133),OR(L133&lt;0,L133&gt;95))),"Введите целое число от 0 до 95",IF(OR(AND(J133&lt;&gt;"",NOT(ISNUMBER(J133))),IFERROR(MOD(J133,1),1)&gt;0,AND(ISNUMBER(J133),OR(J133&lt;50,J133&gt;20000000))),"Введите целое число от 50 до 20000000",IF(NOT(ABS(IFERROR(VALUE(LEFT(M133,FIND("-",M133)-1)),M133)*100-(2500+2000000000)/2)&lt;=ABS(2500-2000000000)/2),"Цена со скидкой должна быть от 25 до 20000000",IF(IFERROR(VALUE(LEFT(M133,FIND("-",M133)-1)),M133)*229&lt;40700,"Вы уменьшили цену в несколько раз, товар попадет в карантин цен",IF(AND(IFERROR(VALUE(I133),0)=0,ISNUMBER(J133),OR(J133&lt;226,ABS(IFERROR(VALUE(LEFT(M133,FIND("-",M133)-1)),M133))*100&lt;22600)),"Проверьте цену товара. Большинство товаров в выбранной категории стоят дороже 226",""))))),"")</f>
      </c>
    </row>
    <row r="134">
      <c r="A134" s="2" t="inlineStr">
        <is>
          <t>VitalEmb</t>
        </is>
      </c>
      <c r="B134" s="2" t="inlineStr">
        <is>
          <t>Декор для одежды</t>
        </is>
      </c>
      <c r="C134" s="2">
        <v>707770409</v>
      </c>
      <c r="D134" s="2" t="inlineStr">
        <is>
          <t>rosgkit20002</t>
        </is>
      </c>
      <c r="E134" s="2" t="inlineStr">
        <is>
          <t>2047903315259</t>
        </is>
      </c>
      <c r="F134" s="2">
        <v>10</v>
      </c>
      <c r="G134" s="2">
        <v>0</v>
      </c>
      <c r="H134" s="2">
        <v>999</v>
      </c>
      <c r="I134" s="2" t="inlineStr">
        <is>
          <t>2000</t>
        </is>
      </c>
      <c r="J134" s="4"/>
      <c r="K134" s="2">
        <v>57</v>
      </c>
      <c r="L134" s="6"/>
      <c r="M134" s="2" t="str">
        <f>IF(J134="",ROUND(I134*(1-IF(ISBLANK(L134),K134,L134)/100),2),ROUND(J134*(1-IF(ISBLANK(L134),K134,L134)/100),2))</f>
      </c>
      <c r="N134" s="7" t="str">
        <f>IF(NOT(AND(J134="",L134="")),IF(OR(AND(L134&lt;&gt;"",NOT(ISNUMBER(L134))),IFERROR(MOD(L134,1),1)&gt;0,AND(ISNUMBER(L134),OR(L134&lt;0,L134&gt;95))),"Введите целое число от 0 до 95",IF(OR(AND(J134&lt;&gt;"",NOT(ISNUMBER(J134))),IFERROR(MOD(J134,1),1)&gt;0,AND(ISNUMBER(J134),OR(J134&lt;50,J134&gt;20000000))),"Введите целое число от 50 до 20000000",IF(NOT(ABS(IFERROR(VALUE(LEFT(M134,FIND("-",M134)-1)),M134)*100-(2500+2000000000)/2)&lt;=ABS(2500-2000000000)/2),"Цена со скидкой должна быть от 25 до 20000000",IF(IFERROR(VALUE(LEFT(M134,FIND("-",M134)-1)),M134)*229&lt;86000,"Вы уменьшили цену в несколько раз, товар попадет в карантин цен",IF(AND(IFERROR(VALUE(I134),0)=0,ISNUMBER(J134),OR(J134&lt;226,ABS(IFERROR(VALUE(LEFT(M134,FIND("-",M134)-1)),M134))*100&lt;22600)),"Проверьте цену товара. Большинство товаров в выбранной категории стоят дороже 226",""))))),"")</f>
      </c>
    </row>
    <row r="135">
      <c r="A135" s="2" t="inlineStr">
        <is>
          <t>VitalEmb</t>
        </is>
      </c>
      <c r="B135" s="2" t="inlineStr">
        <is>
          <t>Декор для одежды</t>
        </is>
      </c>
      <c r="C135" s="2">
        <v>593399830</v>
      </c>
      <c r="D135" s="2" t="inlineStr">
        <is>
          <t>fsbback0001_back0013_222365</t>
        </is>
      </c>
      <c r="E135" s="2" t="inlineStr">
        <is>
          <t>2047050479804</t>
        </is>
      </c>
      <c r="F135" s="2">
        <v>7</v>
      </c>
      <c r="G135" s="2">
        <v>0</v>
      </c>
      <c r="H135" s="2">
        <v>233</v>
      </c>
      <c r="I135" s="2" t="inlineStr">
        <is>
          <t>1500</t>
        </is>
      </c>
      <c r="J135" s="4"/>
      <c r="K135" s="2">
        <v>63</v>
      </c>
      <c r="L135" s="6"/>
      <c r="M135" s="2" t="str">
        <f>IF(J135="",ROUND(I135*(1-IF(ISBLANK(L135),K135,L135)/100),2),ROUND(J135*(1-IF(ISBLANK(L135),K135,L135)/100),2))</f>
      </c>
      <c r="N135" s="7" t="str">
        <f>IF(NOT(AND(J135="",L135="")),IF(OR(AND(L135&lt;&gt;"",NOT(ISNUMBER(L135))),IFERROR(MOD(L135,1),1)&gt;0,AND(ISNUMBER(L135),OR(L135&lt;0,L135&gt;95))),"Введите целое число от 0 до 95",IF(OR(AND(J135&lt;&gt;"",NOT(ISNUMBER(J135))),IFERROR(MOD(J135,1),1)&gt;0,AND(ISNUMBER(J135),OR(J135&lt;50,J135&gt;20000000))),"Введите целое число от 50 до 20000000",IF(NOT(ABS(IFERROR(VALUE(LEFT(M135,FIND("-",M135)-1)),M135)*100-(2500+2000000000)/2)&lt;=ABS(2500-2000000000)/2),"Цена со скидкой должна быть от 25 до 20000000",IF(IFERROR(VALUE(LEFT(M135,FIND("-",M135)-1)),M135)*229&lt;55500,"Вы уменьшили цену в несколько раз, товар попадет в карантин цен",IF(AND(IFERROR(VALUE(I135),0)=0,ISNUMBER(J135),OR(J135&lt;226,ABS(IFERROR(VALUE(LEFT(M135,FIND("-",M135)-1)),M135))*100&lt;22600)),"Проверьте цену товара. Большинство товаров в выбранной категории стоят дороже 226",""))))),"")</f>
      </c>
    </row>
    <row r="136">
      <c r="A136" s="2" t="inlineStr">
        <is>
          <t>VitalEmb</t>
        </is>
      </c>
      <c r="B136" s="2" t="inlineStr">
        <is>
          <t>Декор для одежды</t>
        </is>
      </c>
      <c r="C136" s="2">
        <v>707892597</v>
      </c>
      <c r="D136" s="2" t="inlineStr">
        <is>
          <t>rosgkit20008</t>
        </is>
      </c>
      <c r="E136" s="2" t="inlineStr">
        <is>
          <t>2047903740167</t>
        </is>
      </c>
      <c r="F136" s="2">
        <v>6</v>
      </c>
      <c r="G136" s="2">
        <v>0</v>
      </c>
      <c r="H136" s="2">
        <v>999</v>
      </c>
      <c r="I136" s="2" t="inlineStr">
        <is>
          <t>2000</t>
        </is>
      </c>
      <c r="J136" s="4"/>
      <c r="K136" s="2">
        <v>57</v>
      </c>
      <c r="L136" s="6"/>
      <c r="M136" s="2" t="str">
        <f>IF(J136="",ROUND(I136*(1-IF(ISBLANK(L136),K136,L136)/100),2),ROUND(J136*(1-IF(ISBLANK(L136),K136,L136)/100),2))</f>
      </c>
      <c r="N136" s="7" t="str">
        <f>IF(NOT(AND(J136="",L136="")),IF(OR(AND(L136&lt;&gt;"",NOT(ISNUMBER(L136))),IFERROR(MOD(L136,1),1)&gt;0,AND(ISNUMBER(L136),OR(L136&lt;0,L136&gt;95))),"Введите целое число от 0 до 95",IF(OR(AND(J136&lt;&gt;"",NOT(ISNUMBER(J136))),IFERROR(MOD(J136,1),1)&gt;0,AND(ISNUMBER(J136),OR(J136&lt;50,J136&gt;20000000))),"Введите целое число от 50 до 20000000",IF(NOT(ABS(IFERROR(VALUE(LEFT(M136,FIND("-",M136)-1)),M136)*100-(2500+2000000000)/2)&lt;=ABS(2500-2000000000)/2),"Цена со скидкой должна быть от 25 до 20000000",IF(IFERROR(VALUE(LEFT(M136,FIND("-",M136)-1)),M136)*229&lt;86000,"Вы уменьшили цену в несколько раз, товар попадет в карантин цен",IF(AND(IFERROR(VALUE(I136),0)=0,ISNUMBER(J136),OR(J136&lt;226,ABS(IFERROR(VALUE(LEFT(M136,FIND("-",M136)-1)),M136))*100&lt;22600)),"Проверьте цену товара. Большинство товаров в выбранной категории стоят дороже 226",""))))),"")</f>
      </c>
    </row>
    <row r="137">
      <c r="A137" s="2" t="inlineStr">
        <is>
          <t>VitalEmb</t>
        </is>
      </c>
      <c r="B137" s="2" t="inlineStr">
        <is>
          <t>Декор для одежды</t>
        </is>
      </c>
      <c r="C137" s="2">
        <v>707892599</v>
      </c>
      <c r="D137" s="2" t="inlineStr">
        <is>
          <t>rosgkit20012</t>
        </is>
      </c>
      <c r="E137" s="2" t="inlineStr">
        <is>
          <t>2047903829343</t>
        </is>
      </c>
      <c r="F137" s="2">
        <v>8</v>
      </c>
      <c r="G137" s="2">
        <v>0</v>
      </c>
      <c r="H137" s="2">
        <v>999</v>
      </c>
      <c r="I137" s="2" t="inlineStr">
        <is>
          <t>2000</t>
        </is>
      </c>
      <c r="J137" s="4"/>
      <c r="K137" s="2">
        <v>51</v>
      </c>
      <c r="L137" s="6"/>
      <c r="M137" s="2" t="str">
        <f>IF(J137="",ROUND(I137*(1-IF(ISBLANK(L137),K137,L137)/100),2),ROUND(J137*(1-IF(ISBLANK(L137),K137,L137)/100),2))</f>
      </c>
      <c r="N137" s="7" t="str">
        <f>IF(NOT(AND(J137="",L137="")),IF(OR(AND(L137&lt;&gt;"",NOT(ISNUMBER(L137))),IFERROR(MOD(L137,1),1)&gt;0,AND(ISNUMBER(L137),OR(L137&lt;0,L137&gt;95))),"Введите целое число от 0 до 95",IF(OR(AND(J137&lt;&gt;"",NOT(ISNUMBER(J137))),IFERROR(MOD(J137,1),1)&gt;0,AND(ISNUMBER(J137),OR(J137&lt;50,J137&gt;20000000))),"Введите целое число от 50 до 20000000",IF(NOT(ABS(IFERROR(VALUE(LEFT(M137,FIND("-",M137)-1)),M137)*100-(2500+2000000000)/2)&lt;=ABS(2500-2000000000)/2),"Цена со скидкой должна быть от 25 до 20000000",IF(IFERROR(VALUE(LEFT(M137,FIND("-",M137)-1)),M137)*229&lt;98000,"Вы уменьшили цену в несколько раз, товар попадет в карантин цен",IF(AND(IFERROR(VALUE(I137),0)=0,ISNUMBER(J137),OR(J137&lt;226,ABS(IFERROR(VALUE(LEFT(M137,FIND("-",M137)-1)),M137))*100&lt;22600)),"Проверьте цену товара. Большинство товаров в выбранной категории стоят дороже 226",""))))),"")</f>
      </c>
    </row>
    <row r="138">
      <c r="A138" s="2" t="inlineStr">
        <is>
          <t>VitalEmb</t>
        </is>
      </c>
      <c r="B138" s="2" t="inlineStr">
        <is>
          <t>Декор для одежды</t>
        </is>
      </c>
      <c r="C138" s="2">
        <v>707833048</v>
      </c>
      <c r="D138" s="2" t="inlineStr">
        <is>
          <t>rosgkit20005</t>
        </is>
      </c>
      <c r="E138" s="2" t="inlineStr">
        <is>
          <t>2047903665323</t>
        </is>
      </c>
      <c r="F138" s="2">
        <v>8</v>
      </c>
      <c r="G138" s="2">
        <v>0</v>
      </c>
      <c r="H138" s="2">
        <v>16</v>
      </c>
      <c r="I138" s="2" t="inlineStr">
        <is>
          <t>2000</t>
        </is>
      </c>
      <c r="J138" s="4"/>
      <c r="K138" s="2">
        <v>53</v>
      </c>
      <c r="L138" s="6"/>
      <c r="M138" s="2" t="str">
        <f>IF(J138="",ROUND(I138*(1-IF(ISBLANK(L138),K138,L138)/100),2),ROUND(J138*(1-IF(ISBLANK(L138),K138,L138)/100),2))</f>
      </c>
      <c r="N138" s="7" t="str">
        <f>IF(NOT(AND(J138="",L138="")),IF(OR(AND(L138&lt;&gt;"",NOT(ISNUMBER(L138))),IFERROR(MOD(L138,1),1)&gt;0,AND(ISNUMBER(L138),OR(L138&lt;0,L138&gt;95))),"Введите целое число от 0 до 95",IF(OR(AND(J138&lt;&gt;"",NOT(ISNUMBER(J138))),IFERROR(MOD(J138,1),1)&gt;0,AND(ISNUMBER(J138),OR(J138&lt;50,J138&gt;20000000))),"Введите целое число от 50 до 20000000",IF(NOT(ABS(IFERROR(VALUE(LEFT(M138,FIND("-",M138)-1)),M138)*100-(2500+2000000000)/2)&lt;=ABS(2500-2000000000)/2),"Цена со скидкой должна быть от 25 до 20000000",IF(IFERROR(VALUE(LEFT(M138,FIND("-",M138)-1)),M138)*229&lt;94000,"Вы уменьшили цену в несколько раз, товар попадет в карантин цен",IF(AND(IFERROR(VALUE(I138),0)=0,ISNUMBER(J138),OR(J138&lt;226,ABS(IFERROR(VALUE(LEFT(M138,FIND("-",M138)-1)),M138))*100&lt;22600)),"Проверьте цену товара. Большинство товаров в выбранной категории стоят дороже 226",""))))),"")</f>
      </c>
    </row>
    <row r="139">
      <c r="A139" s="2" t="inlineStr">
        <is>
          <t>VitalEmb</t>
        </is>
      </c>
      <c r="B139" s="2" t="inlineStr">
        <is>
          <t>Декор для одежды</t>
        </is>
      </c>
      <c r="C139" s="2">
        <v>756855095</v>
      </c>
      <c r="D139" s="2" t="inlineStr">
        <is>
          <t>oopict0000</t>
        </is>
      </c>
      <c r="E139" s="2" t="inlineStr">
        <is>
          <t>2048337112568</t>
        </is>
      </c>
      <c r="F139" s="2">
        <v>47</v>
      </c>
      <c r="G139" s="2">
        <v>0</v>
      </c>
      <c r="H139" s="2">
        <v>999</v>
      </c>
      <c r="I139" s="2" t="inlineStr">
        <is>
          <t>1100</t>
        </is>
      </c>
      <c r="J139" s="4"/>
      <c r="K139" s="2">
        <v>53</v>
      </c>
      <c r="L139" s="6"/>
      <c r="M139" s="2" t="str">
        <f>IF(J139="",ROUND(I139*(1-IF(ISBLANK(L139),K139,L139)/100),2),ROUND(J139*(1-IF(ISBLANK(L139),K139,L139)/100),2))</f>
      </c>
      <c r="N139" s="7" t="str">
        <f>IF(NOT(AND(J139="",L139="")),IF(OR(AND(L139&lt;&gt;"",NOT(ISNUMBER(L139))),IFERROR(MOD(L139,1),1)&gt;0,AND(ISNUMBER(L139),OR(L139&lt;0,L139&gt;95))),"Введите целое число от 0 до 95",IF(OR(AND(J139&lt;&gt;"",NOT(ISNUMBER(J139))),IFERROR(MOD(J139,1),1)&gt;0,AND(ISNUMBER(J139),OR(J139&lt;50,J139&gt;20000000))),"Введите целое число от 50 до 20000000",IF(NOT(ABS(IFERROR(VALUE(LEFT(M139,FIND("-",M139)-1)),M139)*100-(2500+2000000000)/2)&lt;=ABS(2500-2000000000)/2),"Цена со скидкой должна быть от 25 до 20000000",IF(IFERROR(VALUE(LEFT(M139,FIND("-",M139)-1)),M139)*229&lt;51700,"Вы уменьшили цену в несколько раз, товар попадет в карантин цен",IF(AND(IFERROR(VALUE(I139),0)=0,ISNUMBER(J139),OR(J139&lt;226,ABS(IFERROR(VALUE(LEFT(M139,FIND("-",M139)-1)),M139))*100&lt;22600)),"Проверьте цену товара. Большинство товаров в выбранной категории стоят дороже 226",""))))),"")</f>
      </c>
    </row>
    <row r="140">
      <c r="A140" s="2" t="inlineStr">
        <is>
          <t>VitalEmb</t>
        </is>
      </c>
      <c r="B140" s="2" t="inlineStr">
        <is>
          <t>Декор для одежды</t>
        </is>
      </c>
      <c r="C140" s="2">
        <v>598781821</v>
      </c>
      <c r="D140" s="2" t="inlineStr">
        <is>
          <t>vshnr0003_222463</t>
        </is>
      </c>
      <c r="E140" s="2" t="inlineStr">
        <is>
          <t>2047108479930</t>
        </is>
      </c>
      <c r="F140" s="2">
        <v>21</v>
      </c>
      <c r="G140" s="2">
        <v>0</v>
      </c>
      <c r="H140" s="2">
        <v>999</v>
      </c>
      <c r="I140" s="2" t="inlineStr">
        <is>
          <t>1100</t>
        </is>
      </c>
      <c r="J140" s="4"/>
      <c r="K140" s="2">
        <v>63</v>
      </c>
      <c r="L140" s="6"/>
      <c r="M140" s="2" t="str">
        <f>IF(J140="",ROUND(I140*(1-IF(ISBLANK(L140),K140,L140)/100),2),ROUND(J140*(1-IF(ISBLANK(L140),K140,L140)/100),2))</f>
      </c>
      <c r="N140" s="7" t="str">
        <f>IF(NOT(AND(J140="",L140="")),IF(OR(AND(L140&lt;&gt;"",NOT(ISNUMBER(L140))),IFERROR(MOD(L140,1),1)&gt;0,AND(ISNUMBER(L140),OR(L140&lt;0,L140&gt;95))),"Введите целое число от 0 до 95",IF(OR(AND(J140&lt;&gt;"",NOT(ISNUMBER(J140))),IFERROR(MOD(J140,1),1)&gt;0,AND(ISNUMBER(J140),OR(J140&lt;50,J140&gt;20000000))),"Введите целое число от 50 до 20000000",IF(NOT(ABS(IFERROR(VALUE(LEFT(M140,FIND("-",M140)-1)),M140)*100-(2500+2000000000)/2)&lt;=ABS(2500-2000000000)/2),"Цена со скидкой должна быть от 25 до 20000000",IF(IFERROR(VALUE(LEFT(M140,FIND("-",M140)-1)),M140)*229&lt;40700,"Вы уменьшили цену в несколько раз, товар попадет в карантин цен",IF(AND(IFERROR(VALUE(I140),0)=0,ISNUMBER(J140),OR(J140&lt;226,ABS(IFERROR(VALUE(LEFT(M140,FIND("-",M140)-1)),M140))*100&lt;22600)),"Проверьте цену товара. Большинство товаров в выбранной категории стоят дороже 226",""))))),"")</f>
      </c>
    </row>
    <row r="141">
      <c r="A141" s="2" t="inlineStr">
        <is>
          <t>VitalEmb</t>
        </is>
      </c>
      <c r="B141" s="2" t="inlineStr">
        <is>
          <t>Декор для одежды</t>
        </is>
      </c>
      <c r="C141" s="2">
        <v>600307801</v>
      </c>
      <c r="D141" s="2" t="inlineStr">
        <is>
          <t>vshng0006_222682</t>
        </is>
      </c>
      <c r="E141" s="2" t="inlineStr">
        <is>
          <t>2047124002723</t>
        </is>
      </c>
      <c r="F141" s="2">
        <v>17</v>
      </c>
      <c r="G141" s="2">
        <v>0</v>
      </c>
      <c r="H141" s="2">
        <v>277</v>
      </c>
      <c r="I141" s="2" t="inlineStr">
        <is>
          <t>1100</t>
        </is>
      </c>
      <c r="J141" s="4"/>
      <c r="K141" s="2">
        <v>63</v>
      </c>
      <c r="L141" s="6"/>
      <c r="M141" s="2" t="str">
        <f>IF(J141="",ROUND(I141*(1-IF(ISBLANK(L141),K141,L141)/100),2),ROUND(J141*(1-IF(ISBLANK(L141),K141,L141)/100),2))</f>
      </c>
      <c r="N141" s="7" t="str">
        <f>IF(NOT(AND(J141="",L141="")),IF(OR(AND(L141&lt;&gt;"",NOT(ISNUMBER(L141))),IFERROR(MOD(L141,1),1)&gt;0,AND(ISNUMBER(L141),OR(L141&lt;0,L141&gt;95))),"Введите целое число от 0 до 95",IF(OR(AND(J141&lt;&gt;"",NOT(ISNUMBER(J141))),IFERROR(MOD(J141,1),1)&gt;0,AND(ISNUMBER(J141),OR(J141&lt;50,J141&gt;20000000))),"Введите целое число от 50 до 20000000",IF(NOT(ABS(IFERROR(VALUE(LEFT(M141,FIND("-",M141)-1)),M141)*100-(2500+2000000000)/2)&lt;=ABS(2500-2000000000)/2),"Цена со скидкой должна быть от 25 до 20000000",IF(IFERROR(VALUE(LEFT(M141,FIND("-",M141)-1)),M141)*229&lt;40700,"Вы уменьшили цену в несколько раз, товар попадет в карантин цен",IF(AND(IFERROR(VALUE(I141),0)=0,ISNUMBER(J141),OR(J141&lt;226,ABS(IFERROR(VALUE(LEFT(M141,FIND("-",M141)-1)),M141))*100&lt;22600)),"Проверьте цену товара. Большинство товаров в выбранной категории стоят дороже 226",""))))),"")</f>
      </c>
    </row>
    <row r="142">
      <c r="A142" s="2" t="inlineStr">
        <is>
          <t>VitalEmb</t>
        </is>
      </c>
      <c r="B142" s="2" t="inlineStr">
        <is>
          <t>Декор для одежды</t>
        </is>
      </c>
      <c r="C142" s="2">
        <v>612405540</v>
      </c>
      <c r="D142" s="2" t="inlineStr">
        <is>
          <t>pzngol0026_222179</t>
        </is>
      </c>
      <c r="E142" s="2" t="inlineStr">
        <is>
          <t>2047245690359</t>
        </is>
      </c>
      <c r="F142" s="2">
        <v>15</v>
      </c>
      <c r="G142" s="2">
        <v>0</v>
      </c>
      <c r="H142" s="2">
        <v>160</v>
      </c>
      <c r="I142" s="2" t="inlineStr">
        <is>
          <t>1100</t>
        </is>
      </c>
      <c r="J142" s="4"/>
      <c r="K142" s="2">
        <v>63</v>
      </c>
      <c r="L142" s="6"/>
      <c r="M142" s="2" t="str">
        <f>IF(J142="",ROUND(I142*(1-IF(ISBLANK(L142),K142,L142)/100),2),ROUND(J142*(1-IF(ISBLANK(L142),K142,L142)/100),2))</f>
      </c>
      <c r="N142" s="7" t="str">
        <f>IF(NOT(AND(J142="",L142="")),IF(OR(AND(L142&lt;&gt;"",NOT(ISNUMBER(L142))),IFERROR(MOD(L142,1),1)&gt;0,AND(ISNUMBER(L142),OR(L142&lt;0,L142&gt;95))),"Введите целое число от 0 до 95",IF(OR(AND(J142&lt;&gt;"",NOT(ISNUMBER(J142))),IFERROR(MOD(J142,1),1)&gt;0,AND(ISNUMBER(J142),OR(J142&lt;50,J142&gt;20000000))),"Введите целое число от 50 до 20000000",IF(NOT(ABS(IFERROR(VALUE(LEFT(M142,FIND("-",M142)-1)),M142)*100-(2500+2000000000)/2)&lt;=ABS(2500-2000000000)/2),"Цена со скидкой должна быть от 25 до 20000000",IF(IFERROR(VALUE(LEFT(M142,FIND("-",M142)-1)),M142)*229&lt;40700,"Вы уменьшили цену в несколько раз, товар попадет в карантин цен",IF(AND(IFERROR(VALUE(I142),0)=0,ISNUMBER(J142),OR(J142&lt;226,ABS(IFERROR(VALUE(LEFT(M142,FIND("-",M142)-1)),M142))*100&lt;22600)),"Проверьте цену товара. Большинство товаров в выбранной категории стоят дороже 226",""))))),"")</f>
      </c>
    </row>
    <row r="143">
      <c r="A143" s="2" t="inlineStr">
        <is>
          <t>VitalEmb</t>
        </is>
      </c>
      <c r="B143" s="2" t="inlineStr">
        <is>
          <t>Декор для одежды</t>
        </is>
      </c>
      <c r="C143" s="2">
        <v>790572945</v>
      </c>
      <c r="D143" s="2" t="inlineStr">
        <is>
          <t>fsspkit40001</t>
        </is>
      </c>
      <c r="E143" s="2" t="inlineStr">
        <is>
          <t>2048647934003</t>
        </is>
      </c>
      <c r="F143" s="2">
        <v>7</v>
      </c>
      <c r="G143" s="2">
        <v>0</v>
      </c>
      <c r="H143" s="2">
        <v>999</v>
      </c>
      <c r="I143" s="2" t="inlineStr">
        <is>
          <t>3600</t>
        </is>
      </c>
      <c r="J143" s="4"/>
      <c r="K143" s="2">
        <v>52</v>
      </c>
      <c r="L143" s="6"/>
      <c r="M143" s="2" t="str">
        <f>IF(J143="",ROUND(I143*(1-IF(ISBLANK(L143),K143,L143)/100),2),ROUND(J143*(1-IF(ISBLANK(L143),K143,L143)/100),2))</f>
      </c>
      <c r="N143" s="7" t="str">
        <f>IF(NOT(AND(J143="",L143="")),IF(OR(AND(L143&lt;&gt;"",NOT(ISNUMBER(L143))),IFERROR(MOD(L143,1),1)&gt;0,AND(ISNUMBER(L143),OR(L143&lt;0,L143&gt;95))),"Введите целое число от 0 до 95",IF(OR(AND(J143&lt;&gt;"",NOT(ISNUMBER(J143))),IFERROR(MOD(J143,1),1)&gt;0,AND(ISNUMBER(J143),OR(J143&lt;50,J143&gt;20000000))),"Введите целое число от 50 до 20000000",IF(NOT(ABS(IFERROR(VALUE(LEFT(M143,FIND("-",M143)-1)),M143)*100-(2500+2000000000)/2)&lt;=ABS(2500-2000000000)/2),"Цена со скидкой должна быть от 25 до 20000000",IF(IFERROR(VALUE(LEFT(M143,FIND("-",M143)-1)),M143)*229&lt;172800,"Вы уменьшили цену в несколько раз, товар попадет в карантин цен",IF(AND(IFERROR(VALUE(I143),0)=0,ISNUMBER(J143),OR(J143&lt;226,ABS(IFERROR(VALUE(LEFT(M143,FIND("-",M143)-1)),M143))*100&lt;22600)),"Проверьте цену товара. Большинство товаров в выбранной категории стоят дороже 226",""))))),"")</f>
      </c>
    </row>
    <row r="144">
      <c r="A144" s="2" t="inlineStr">
        <is>
          <t>VitalEmb</t>
        </is>
      </c>
      <c r="B144" s="2" t="inlineStr">
        <is>
          <t>Декор для одежды</t>
        </is>
      </c>
      <c r="C144" s="2">
        <v>607722872</v>
      </c>
      <c r="D144" s="2" t="inlineStr">
        <is>
          <t>grvspict0008_223182</t>
        </is>
      </c>
      <c r="E144" s="2" t="inlineStr">
        <is>
          <t>2047197478401</t>
        </is>
      </c>
      <c r="F144" s="2">
        <v>9</v>
      </c>
      <c r="G144" s="2">
        <v>0</v>
      </c>
      <c r="H144" s="2">
        <v>999</v>
      </c>
      <c r="I144" s="2" t="inlineStr">
        <is>
          <t>1100</t>
        </is>
      </c>
      <c r="J144" s="4"/>
      <c r="K144" s="2">
        <v>61</v>
      </c>
      <c r="L144" s="6"/>
      <c r="M144" s="2" t="str">
        <f>IF(J144="",ROUND(I144*(1-IF(ISBLANK(L144),K144,L144)/100),2),ROUND(J144*(1-IF(ISBLANK(L144),K144,L144)/100),2))</f>
      </c>
      <c r="N144" s="7" t="str">
        <f>IF(NOT(AND(J144="",L144="")),IF(OR(AND(L144&lt;&gt;"",NOT(ISNUMBER(L144))),IFERROR(MOD(L144,1),1)&gt;0,AND(ISNUMBER(L144),OR(L144&lt;0,L144&gt;95))),"Введите целое число от 0 до 95",IF(OR(AND(J144&lt;&gt;"",NOT(ISNUMBER(J144))),IFERROR(MOD(J144,1),1)&gt;0,AND(ISNUMBER(J144),OR(J144&lt;50,J144&gt;20000000))),"Введите целое число от 50 до 20000000",IF(NOT(ABS(IFERROR(VALUE(LEFT(M144,FIND("-",M144)-1)),M144)*100-(2500+2000000000)/2)&lt;=ABS(2500-2000000000)/2),"Цена со скидкой должна быть от 25 до 20000000",IF(IFERROR(VALUE(LEFT(M144,FIND("-",M144)-1)),M144)*229&lt;42900,"Вы уменьшили цену в несколько раз, товар попадет в карантин цен",IF(AND(IFERROR(VALUE(I144),0)=0,ISNUMBER(J144),OR(J144&lt;226,ABS(IFERROR(VALUE(LEFT(M144,FIND("-",M144)-1)),M144))*100&lt;22600)),"Проверьте цену товара. Большинство товаров в выбранной категории стоят дороже 226",""))))),"")</f>
      </c>
    </row>
    <row r="145">
      <c r="A145" s="2" t="inlineStr">
        <is>
          <t>VitalEmb</t>
        </is>
      </c>
      <c r="B145" s="2" t="inlineStr">
        <is>
          <t>Декор для одежды</t>
        </is>
      </c>
      <c r="C145" s="2">
        <v>595845178</v>
      </c>
      <c r="D145" s="2" t="inlineStr">
        <is>
          <t>brigpict0001_222909</t>
        </is>
      </c>
      <c r="E145" s="2" t="inlineStr">
        <is>
          <t>2047075890905</t>
        </is>
      </c>
      <c r="F145" s="2">
        <v>13</v>
      </c>
      <c r="G145" s="2">
        <v>0</v>
      </c>
      <c r="H145" s="2">
        <v>999</v>
      </c>
      <c r="I145" s="2" t="inlineStr">
        <is>
          <t>1100</t>
        </is>
      </c>
      <c r="J145" s="4"/>
      <c r="K145" s="2">
        <v>63</v>
      </c>
      <c r="L145" s="6"/>
      <c r="M145" s="2" t="str">
        <f>IF(J145="",ROUND(I145*(1-IF(ISBLANK(L145),K145,L145)/100),2),ROUND(J145*(1-IF(ISBLANK(L145),K145,L145)/100),2))</f>
      </c>
      <c r="N145" s="7" t="str">
        <f>IF(NOT(AND(J145="",L145="")),IF(OR(AND(L145&lt;&gt;"",NOT(ISNUMBER(L145))),IFERROR(MOD(L145,1),1)&gt;0,AND(ISNUMBER(L145),OR(L145&lt;0,L145&gt;95))),"Введите целое число от 0 до 95",IF(OR(AND(J145&lt;&gt;"",NOT(ISNUMBER(J145))),IFERROR(MOD(J145,1),1)&gt;0,AND(ISNUMBER(J145),OR(J145&lt;50,J145&gt;20000000))),"Введите целое число от 50 до 20000000",IF(NOT(ABS(IFERROR(VALUE(LEFT(M145,FIND("-",M145)-1)),M145)*100-(2500+2000000000)/2)&lt;=ABS(2500-2000000000)/2),"Цена со скидкой должна быть от 25 до 20000000",IF(IFERROR(VALUE(LEFT(M145,FIND("-",M145)-1)),M145)*229&lt;40700,"Вы уменьшили цену в несколько раз, товар попадет в карантин цен",IF(AND(IFERROR(VALUE(I145),0)=0,ISNUMBER(J145),OR(J145&lt;226,ABS(IFERROR(VALUE(LEFT(M145,FIND("-",M145)-1)),M145))*100&lt;22600)),"Проверьте цену товара. Большинство товаров в выбранной категории стоят дороже 226",""))))),"")</f>
      </c>
    </row>
    <row r="146">
      <c r="A146" s="2" t="inlineStr">
        <is>
          <t>VitalEmb</t>
        </is>
      </c>
      <c r="B146" s="2" t="inlineStr">
        <is>
          <t>Декор для одежды</t>
        </is>
      </c>
      <c r="C146" s="2">
        <v>613175175</v>
      </c>
      <c r="D146" s="2" t="inlineStr">
        <is>
          <t>pzngol0044_222426</t>
        </is>
      </c>
      <c r="E146" s="2" t="inlineStr">
        <is>
          <t>2047258817002</t>
        </is>
      </c>
      <c r="F146" s="2">
        <v>18</v>
      </c>
      <c r="G146" s="2">
        <v>0</v>
      </c>
      <c r="H146" s="2">
        <v>567</v>
      </c>
      <c r="I146" s="2" t="inlineStr">
        <is>
          <t>1100</t>
        </is>
      </c>
      <c r="J146" s="4"/>
      <c r="K146" s="2">
        <v>63</v>
      </c>
      <c r="L146" s="6"/>
      <c r="M146" s="2" t="str">
        <f>IF(J146="",ROUND(I146*(1-IF(ISBLANK(L146),K146,L146)/100),2),ROUND(J146*(1-IF(ISBLANK(L146),K146,L146)/100),2))</f>
      </c>
      <c r="N146" s="7" t="str">
        <f>IF(NOT(AND(J146="",L146="")),IF(OR(AND(L146&lt;&gt;"",NOT(ISNUMBER(L146))),IFERROR(MOD(L146,1),1)&gt;0,AND(ISNUMBER(L146),OR(L146&lt;0,L146&gt;95))),"Введите целое число от 0 до 95",IF(OR(AND(J146&lt;&gt;"",NOT(ISNUMBER(J146))),IFERROR(MOD(J146,1),1)&gt;0,AND(ISNUMBER(J146),OR(J146&lt;50,J146&gt;20000000))),"Введите целое число от 50 до 20000000",IF(NOT(ABS(IFERROR(VALUE(LEFT(M146,FIND("-",M146)-1)),M146)*100-(2500+2000000000)/2)&lt;=ABS(2500-2000000000)/2),"Цена со скидкой должна быть от 25 до 20000000",IF(IFERROR(VALUE(LEFT(M146,FIND("-",M146)-1)),M146)*229&lt;40700,"Вы уменьшили цену в несколько раз, товар попадет в карантин цен",IF(AND(IFERROR(VALUE(I146),0)=0,ISNUMBER(J146),OR(J146&lt;226,ABS(IFERROR(VALUE(LEFT(M146,FIND("-",M146)-1)),M146))*100&lt;22600)),"Проверьте цену товара. Большинство товаров в выбранной категории стоят дороже 226",""))))),"")</f>
      </c>
    </row>
    <row r="147">
      <c r="A147" s="2" t="inlineStr">
        <is>
          <t>VitalEmb</t>
        </is>
      </c>
      <c r="B147" s="2" t="inlineStr">
        <is>
          <t>Декор для одежды</t>
        </is>
      </c>
      <c r="C147" s="2">
        <v>613502078</v>
      </c>
      <c r="D147" s="2" t="inlineStr">
        <is>
          <t>pzngmh0029_222942</t>
        </is>
      </c>
      <c r="E147" s="2" t="inlineStr">
        <is>
          <t>2047262880900</t>
        </is>
      </c>
      <c r="F147" s="2">
        <v>17</v>
      </c>
      <c r="G147" s="2">
        <v>0</v>
      </c>
      <c r="H147" s="2">
        <v>264</v>
      </c>
      <c r="I147" s="2" t="inlineStr">
        <is>
          <t>1100</t>
        </is>
      </c>
      <c r="J147" s="4"/>
      <c r="K147" s="2">
        <v>63</v>
      </c>
      <c r="L147" s="6"/>
      <c r="M147" s="2" t="str">
        <f>IF(J147="",ROUND(I147*(1-IF(ISBLANK(L147),K147,L147)/100),2),ROUND(J147*(1-IF(ISBLANK(L147),K147,L147)/100),2))</f>
      </c>
      <c r="N147" s="7" t="str">
        <f>IF(NOT(AND(J147="",L147="")),IF(OR(AND(L147&lt;&gt;"",NOT(ISNUMBER(L147))),IFERROR(MOD(L147,1),1)&gt;0,AND(ISNUMBER(L147),OR(L147&lt;0,L147&gt;95))),"Введите целое число от 0 до 95",IF(OR(AND(J147&lt;&gt;"",NOT(ISNUMBER(J147))),IFERROR(MOD(J147,1),1)&gt;0,AND(ISNUMBER(J147),OR(J147&lt;50,J147&gt;20000000))),"Введите целое число от 50 до 20000000",IF(NOT(ABS(IFERROR(VALUE(LEFT(M147,FIND("-",M147)-1)),M147)*100-(2500+2000000000)/2)&lt;=ABS(2500-2000000000)/2),"Цена со скидкой должна быть от 25 до 20000000",IF(IFERROR(VALUE(LEFT(M147,FIND("-",M147)-1)),M147)*229&lt;40700,"Вы уменьшили цену в несколько раз, товар попадет в карантин цен",IF(AND(IFERROR(VALUE(I147),0)=0,ISNUMBER(J147),OR(J147&lt;226,ABS(IFERROR(VALUE(LEFT(M147,FIND("-",M147)-1)),M147))*100&lt;22600)),"Проверьте цену товара. Большинство товаров в выбранной категории стоят дороже 226",""))))),"")</f>
      </c>
    </row>
    <row r="148">
      <c r="A148" s="2" t="inlineStr">
        <is>
          <t>VitalEmb</t>
        </is>
      </c>
      <c r="B148" s="2" t="inlineStr">
        <is>
          <t>Декор для одежды</t>
        </is>
      </c>
      <c r="C148" s="2">
        <v>648292160</v>
      </c>
      <c r="D148" s="2" t="inlineStr">
        <is>
          <t>oopict0002_222238</t>
        </is>
      </c>
      <c r="E148" s="2" t="inlineStr">
        <is>
          <t>2047478988209</t>
        </is>
      </c>
      <c r="F148" s="2">
        <v>13</v>
      </c>
      <c r="G148" s="2">
        <v>0</v>
      </c>
      <c r="H148" s="2">
        <v>199</v>
      </c>
      <c r="I148" s="2" t="inlineStr">
        <is>
          <t>1100</t>
        </is>
      </c>
      <c r="J148" s="4"/>
      <c r="K148" s="2">
        <v>53</v>
      </c>
      <c r="L148" s="6"/>
      <c r="M148" s="2" t="str">
        <f>IF(J148="",ROUND(I148*(1-IF(ISBLANK(L148),K148,L148)/100),2),ROUND(J148*(1-IF(ISBLANK(L148),K148,L148)/100),2))</f>
      </c>
      <c r="N148" s="7" t="str">
        <f>IF(NOT(AND(J148="",L148="")),IF(OR(AND(L148&lt;&gt;"",NOT(ISNUMBER(L148))),IFERROR(MOD(L148,1),1)&gt;0,AND(ISNUMBER(L148),OR(L148&lt;0,L148&gt;95))),"Введите целое число от 0 до 95",IF(OR(AND(J148&lt;&gt;"",NOT(ISNUMBER(J148))),IFERROR(MOD(J148,1),1)&gt;0,AND(ISNUMBER(J148),OR(J148&lt;50,J148&gt;20000000))),"Введите целое число от 50 до 20000000",IF(NOT(ABS(IFERROR(VALUE(LEFT(M148,FIND("-",M148)-1)),M148)*100-(2500+2000000000)/2)&lt;=ABS(2500-2000000000)/2),"Цена со скидкой должна быть от 25 до 20000000",IF(IFERROR(VALUE(LEFT(M148,FIND("-",M148)-1)),M148)*229&lt;51700,"Вы уменьшили цену в несколько раз, товар попадет в карантин цен",IF(AND(IFERROR(VALUE(I148),0)=0,ISNUMBER(J148),OR(J148&lt;226,ABS(IFERROR(VALUE(LEFT(M148,FIND("-",M148)-1)),M148))*100&lt;22600)),"Проверьте цену товара. Большинство товаров в выбранной категории стоят дороже 226",""))))),"")</f>
      </c>
    </row>
    <row r="149">
      <c r="A149" s="2" t="inlineStr">
        <is>
          <t>VitalEmb</t>
        </is>
      </c>
      <c r="B149" s="2" t="inlineStr">
        <is>
          <t>Декор для одежды</t>
        </is>
      </c>
      <c r="C149" s="2">
        <v>593300947</v>
      </c>
      <c r="D149" s="2" t="inlineStr">
        <is>
          <t>pzngol0037_pzol0012_222424</t>
        </is>
      </c>
      <c r="E149" s="2" t="inlineStr">
        <is>
          <t>2047049088314</t>
        </is>
      </c>
      <c r="F149" s="2">
        <v>9</v>
      </c>
      <c r="G149" s="2">
        <v>0</v>
      </c>
      <c r="H149" s="2">
        <v>148</v>
      </c>
      <c r="I149" s="2" t="inlineStr">
        <is>
          <t>1100</t>
        </is>
      </c>
      <c r="J149" s="4"/>
      <c r="K149" s="2">
        <v>63</v>
      </c>
      <c r="L149" s="6"/>
      <c r="M149" s="2" t="str">
        <f>IF(J149="",ROUND(I149*(1-IF(ISBLANK(L149),K149,L149)/100),2),ROUND(J149*(1-IF(ISBLANK(L149),K149,L149)/100),2))</f>
      </c>
      <c r="N149" s="7" t="str">
        <f>IF(NOT(AND(J149="",L149="")),IF(OR(AND(L149&lt;&gt;"",NOT(ISNUMBER(L149))),IFERROR(MOD(L149,1),1)&gt;0,AND(ISNUMBER(L149),OR(L149&lt;0,L149&gt;95))),"Введите целое число от 0 до 95",IF(OR(AND(J149&lt;&gt;"",NOT(ISNUMBER(J149))),IFERROR(MOD(J149,1),1)&gt;0,AND(ISNUMBER(J149),OR(J149&lt;50,J149&gt;20000000))),"Введите целое число от 50 до 20000000",IF(NOT(ABS(IFERROR(VALUE(LEFT(M149,FIND("-",M149)-1)),M149)*100-(2500+2000000000)/2)&lt;=ABS(2500-2000000000)/2),"Цена со скидкой должна быть от 25 до 20000000",IF(IFERROR(VALUE(LEFT(M149,FIND("-",M149)-1)),M149)*229&lt;40700,"Вы уменьшили цену в несколько раз, товар попадет в карантин цен",IF(AND(IFERROR(VALUE(I149),0)=0,ISNUMBER(J149),OR(J149&lt;226,ABS(IFERROR(VALUE(LEFT(M149,FIND("-",M149)-1)),M149))*100&lt;22600)),"Проверьте цену товара. Большинство товаров в выбранной категории стоят дороже 226",""))))),"")</f>
      </c>
    </row>
    <row r="150">
      <c r="A150" s="2" t="inlineStr">
        <is>
          <t>VitalEmb</t>
        </is>
      </c>
      <c r="B150" s="2" t="inlineStr">
        <is>
          <t>Декор для одежды</t>
        </is>
      </c>
      <c r="C150" s="2">
        <v>591189250</v>
      </c>
      <c r="D150" s="2" t="inlineStr">
        <is>
          <t>vpng0001_form0015_222839</t>
        </is>
      </c>
      <c r="E150" s="2" t="inlineStr">
        <is>
          <t>2047030728373</t>
        </is>
      </c>
      <c r="F150" s="2">
        <v>10</v>
      </c>
      <c r="G150" s="2">
        <v>0</v>
      </c>
      <c r="H150" s="2">
        <v>999</v>
      </c>
      <c r="I150" s="2" t="inlineStr">
        <is>
          <t>1100</t>
        </is>
      </c>
      <c r="J150" s="4"/>
      <c r="K150" s="2">
        <v>63</v>
      </c>
      <c r="L150" s="6"/>
      <c r="M150" s="2" t="str">
        <f>IF(J150="",ROUND(I150*(1-IF(ISBLANK(L150),K150,L150)/100),2),ROUND(J150*(1-IF(ISBLANK(L150),K150,L150)/100),2))</f>
      </c>
      <c r="N150" s="7" t="str">
        <f>IF(NOT(AND(J150="",L150="")),IF(OR(AND(L150&lt;&gt;"",NOT(ISNUMBER(L150))),IFERROR(MOD(L150,1),1)&gt;0,AND(ISNUMBER(L150),OR(L150&lt;0,L150&gt;95))),"Введите целое число от 0 до 95",IF(OR(AND(J150&lt;&gt;"",NOT(ISNUMBER(J150))),IFERROR(MOD(J150,1),1)&gt;0,AND(ISNUMBER(J150),OR(J150&lt;50,J150&gt;20000000))),"Введите целое число от 50 до 20000000",IF(NOT(ABS(IFERROR(VALUE(LEFT(M150,FIND("-",M150)-1)),M150)*100-(2500+2000000000)/2)&lt;=ABS(2500-2000000000)/2),"Цена со скидкой должна быть от 25 до 20000000",IF(IFERROR(VALUE(LEFT(M150,FIND("-",M150)-1)),M150)*229&lt;40700,"Вы уменьшили цену в несколько раз, товар попадет в карантин цен",IF(AND(IFERROR(VALUE(I150),0)=0,ISNUMBER(J150),OR(J150&lt;226,ABS(IFERROR(VALUE(LEFT(M150,FIND("-",M150)-1)),M150))*100&lt;22600)),"Проверьте цену товара. Большинство товаров в выбранной категории стоят дороже 226",""))))),"")</f>
      </c>
    </row>
    <row r="151">
      <c r="A151" s="2" t="inlineStr">
        <is>
          <t>VitalEmb</t>
        </is>
      </c>
      <c r="B151" s="2" t="inlineStr">
        <is>
          <t>Декор для одежды</t>
        </is>
      </c>
      <c r="C151" s="2">
        <v>593397631</v>
      </c>
      <c r="D151" s="2" t="inlineStr">
        <is>
          <t>fsbng0004_form0028_222645</t>
        </is>
      </c>
      <c r="E151" s="2" t="inlineStr">
        <is>
          <t>2047050461328</t>
        </is>
      </c>
      <c r="F151" s="2">
        <v>12</v>
      </c>
      <c r="G151" s="2">
        <v>0</v>
      </c>
      <c r="H151" s="2">
        <v>123</v>
      </c>
      <c r="I151" s="2" t="inlineStr">
        <is>
          <t>1100</t>
        </is>
      </c>
      <c r="J151" s="4"/>
      <c r="K151" s="2">
        <v>63</v>
      </c>
      <c r="L151" s="6"/>
      <c r="M151" s="2" t="str">
        <f>IF(J151="",ROUND(I151*(1-IF(ISBLANK(L151),K151,L151)/100),2),ROUND(J151*(1-IF(ISBLANK(L151),K151,L151)/100),2))</f>
      </c>
      <c r="N151" s="7" t="str">
        <f>IF(NOT(AND(J151="",L151="")),IF(OR(AND(L151&lt;&gt;"",NOT(ISNUMBER(L151))),IFERROR(MOD(L151,1),1)&gt;0,AND(ISNUMBER(L151),OR(L151&lt;0,L151&gt;95))),"Введите целое число от 0 до 95",IF(OR(AND(J151&lt;&gt;"",NOT(ISNUMBER(J151))),IFERROR(MOD(J151,1),1)&gt;0,AND(ISNUMBER(J151),OR(J151&lt;50,J151&gt;20000000))),"Введите целое число от 50 до 20000000",IF(NOT(ABS(IFERROR(VALUE(LEFT(M151,FIND("-",M151)-1)),M151)*100-(2500+2000000000)/2)&lt;=ABS(2500-2000000000)/2),"Цена со скидкой должна быть от 25 до 20000000",IF(IFERROR(VALUE(LEFT(M151,FIND("-",M151)-1)),M151)*229&lt;40700,"Вы уменьшили цену в несколько раз, товар попадет в карантин цен",IF(AND(IFERROR(VALUE(I151),0)=0,ISNUMBER(J151),OR(J151&lt;226,ABS(IFERROR(VALUE(LEFT(M151,FIND("-",M151)-1)),M151))*100&lt;22600)),"Проверьте цену товара. Большинство товаров в выбранной категории стоят дороже 226",""))))),"")</f>
      </c>
    </row>
    <row r="152">
      <c r="A152" s="2" t="inlineStr">
        <is>
          <t>VitalEmb</t>
        </is>
      </c>
      <c r="B152" s="2" t="inlineStr">
        <is>
          <t>Декор для одежды</t>
        </is>
      </c>
      <c r="C152" s="2">
        <v>648295263</v>
      </c>
      <c r="D152" s="2" t="inlineStr">
        <is>
          <t>oopict0003_222786</t>
        </is>
      </c>
      <c r="E152" s="2" t="inlineStr">
        <is>
          <t>2047479004939</t>
        </is>
      </c>
      <c r="F152" s="2">
        <v>7</v>
      </c>
      <c r="G152" s="2">
        <v>0</v>
      </c>
      <c r="H152" s="2">
        <v>212</v>
      </c>
      <c r="I152" s="2" t="inlineStr">
        <is>
          <t>1100</t>
        </is>
      </c>
      <c r="J152" s="4"/>
      <c r="K152" s="2">
        <v>53</v>
      </c>
      <c r="L152" s="6"/>
      <c r="M152" s="2" t="str">
        <f>IF(J152="",ROUND(I152*(1-IF(ISBLANK(L152),K152,L152)/100),2),ROUND(J152*(1-IF(ISBLANK(L152),K152,L152)/100),2))</f>
      </c>
      <c r="N152" s="7" t="str">
        <f>IF(NOT(AND(J152="",L152="")),IF(OR(AND(L152&lt;&gt;"",NOT(ISNUMBER(L152))),IFERROR(MOD(L152,1),1)&gt;0,AND(ISNUMBER(L152),OR(L152&lt;0,L152&gt;95))),"Введите целое число от 0 до 95",IF(OR(AND(J152&lt;&gt;"",NOT(ISNUMBER(J152))),IFERROR(MOD(J152,1),1)&gt;0,AND(ISNUMBER(J152),OR(J152&lt;50,J152&gt;20000000))),"Введите целое число от 50 до 20000000",IF(NOT(ABS(IFERROR(VALUE(LEFT(M152,FIND("-",M152)-1)),M152)*100-(2500+2000000000)/2)&lt;=ABS(2500-2000000000)/2),"Цена со скидкой должна быть от 25 до 20000000",IF(IFERROR(VALUE(LEFT(M152,FIND("-",M152)-1)),M152)*229&lt;51700,"Вы уменьшили цену в несколько раз, товар попадет в карантин цен",IF(AND(IFERROR(VALUE(I152),0)=0,ISNUMBER(J152),OR(J152&lt;226,ABS(IFERROR(VALUE(LEFT(M152,FIND("-",M152)-1)),M152))*100&lt;22600)),"Проверьте цену товара. Большинство товаров в выбранной категории стоят дороже 226",""))))),"")</f>
      </c>
    </row>
    <row r="153">
      <c r="A153" s="2" t="inlineStr">
        <is>
          <t>VitalEmb</t>
        </is>
      </c>
      <c r="B153" s="2" t="inlineStr">
        <is>
          <t>Декор для одежды</t>
        </is>
      </c>
      <c r="C153" s="2">
        <v>593425414</v>
      </c>
      <c r="D153" s="2" t="inlineStr">
        <is>
          <t>fsinkit20002_kitS0001_222283</t>
        </is>
      </c>
      <c r="E153" s="2" t="inlineStr">
        <is>
          <t>2047050801742</t>
        </is>
      </c>
      <c r="F153" s="2">
        <v>13</v>
      </c>
      <c r="G153" s="2">
        <v>0</v>
      </c>
      <c r="H153" s="2">
        <v>210</v>
      </c>
      <c r="I153" s="2" t="inlineStr">
        <is>
          <t>2000</t>
        </is>
      </c>
      <c r="J153" s="4"/>
      <c r="K153" s="2">
        <v>63</v>
      </c>
      <c r="L153" s="6"/>
      <c r="M153" s="2" t="str">
        <f>IF(J153="",ROUND(I153*(1-IF(ISBLANK(L153),K153,L153)/100),2),ROUND(J153*(1-IF(ISBLANK(L153),K153,L153)/100),2))</f>
      </c>
      <c r="N153" s="7" t="str">
        <f>IF(NOT(AND(J153="",L153="")),IF(OR(AND(L153&lt;&gt;"",NOT(ISNUMBER(L153))),IFERROR(MOD(L153,1),1)&gt;0,AND(ISNUMBER(L153),OR(L153&lt;0,L153&gt;95))),"Введите целое число от 0 до 95",IF(OR(AND(J153&lt;&gt;"",NOT(ISNUMBER(J153))),IFERROR(MOD(J153,1),1)&gt;0,AND(ISNUMBER(J153),OR(J153&lt;50,J153&gt;20000000))),"Введите целое число от 50 до 20000000",IF(NOT(ABS(IFERROR(VALUE(LEFT(M153,FIND("-",M153)-1)),M153)*100-(2500+2000000000)/2)&lt;=ABS(2500-2000000000)/2),"Цена со скидкой должна быть от 25 до 20000000",IF(IFERROR(VALUE(LEFT(M153,FIND("-",M153)-1)),M153)*229&lt;74000,"Вы уменьшили цену в несколько раз, товар попадет в карантин цен",IF(AND(IFERROR(VALUE(I153),0)=0,ISNUMBER(J153),OR(J153&lt;226,ABS(IFERROR(VALUE(LEFT(M153,FIND("-",M153)-1)),M153))*100&lt;22600)),"Проверьте цену товара. Большинство товаров в выбранной категории стоят дороже 226",""))))),"")</f>
      </c>
    </row>
    <row r="154">
      <c r="A154" s="2" t="inlineStr">
        <is>
          <t>VitalEmb</t>
        </is>
      </c>
      <c r="B154" s="2" t="inlineStr">
        <is>
          <t>Декор для одежды</t>
        </is>
      </c>
      <c r="C154" s="2">
        <v>593454967</v>
      </c>
      <c r="D154" s="2" t="inlineStr">
        <is>
          <t>vpng0002_form0060</t>
        </is>
      </c>
      <c r="E154" s="2" t="inlineStr">
        <is>
          <t>2047051215890</t>
        </is>
      </c>
      <c r="F154" s="2">
        <v>10</v>
      </c>
      <c r="G154" s="2">
        <v>0</v>
      </c>
      <c r="H154" s="2">
        <v>79</v>
      </c>
      <c r="I154" s="2" t="inlineStr">
        <is>
          <t>1100</t>
        </is>
      </c>
      <c r="J154" s="4"/>
      <c r="K154" s="2">
        <v>63</v>
      </c>
      <c r="L154" s="6"/>
      <c r="M154" s="2" t="str">
        <f>IF(J154="",ROUND(I154*(1-IF(ISBLANK(L154),K154,L154)/100),2),ROUND(J154*(1-IF(ISBLANK(L154),K154,L154)/100),2))</f>
      </c>
      <c r="N154" s="7" t="str">
        <f>IF(NOT(AND(J154="",L154="")),IF(OR(AND(L154&lt;&gt;"",NOT(ISNUMBER(L154))),IFERROR(MOD(L154,1),1)&gt;0,AND(ISNUMBER(L154),OR(L154&lt;0,L154&gt;95))),"Введите целое число от 0 до 95",IF(OR(AND(J154&lt;&gt;"",NOT(ISNUMBER(J154))),IFERROR(MOD(J154,1),1)&gt;0,AND(ISNUMBER(J154),OR(J154&lt;50,J154&gt;20000000))),"Введите целое число от 50 до 20000000",IF(NOT(ABS(IFERROR(VALUE(LEFT(M154,FIND("-",M154)-1)),M154)*100-(2500+2000000000)/2)&lt;=ABS(2500-2000000000)/2),"Цена со скидкой должна быть от 25 до 20000000",IF(IFERROR(VALUE(LEFT(M154,FIND("-",M154)-1)),M154)*229&lt;40700,"Вы уменьшили цену в несколько раз, товар попадет в карантин цен",IF(AND(IFERROR(VALUE(I154),0)=0,ISNUMBER(J154),OR(J154&lt;226,ABS(IFERROR(VALUE(LEFT(M154,FIND("-",M154)-1)),M154))*100&lt;22600)),"Проверьте цену товара. Большинство товаров в выбранной категории стоят дороже 226",""))))),"")</f>
      </c>
    </row>
    <row r="155">
      <c r="A155" s="2" t="inlineStr">
        <is>
          <t>VitalEmb</t>
        </is>
      </c>
      <c r="B155" s="2" t="inlineStr">
        <is>
          <t>Декор для одежды</t>
        </is>
      </c>
      <c r="C155" s="2">
        <v>613302892</v>
      </c>
      <c r="D155" s="2" t="inlineStr">
        <is>
          <t>pzngmh0025_222844</t>
        </is>
      </c>
      <c r="E155" s="2" t="inlineStr">
        <is>
          <t>2047260589362</t>
        </is>
      </c>
      <c r="F155" s="2">
        <v>14</v>
      </c>
      <c r="G155" s="2">
        <v>0</v>
      </c>
      <c r="H155" s="2">
        <v>999</v>
      </c>
      <c r="I155" s="2" t="inlineStr">
        <is>
          <t>1100</t>
        </is>
      </c>
      <c r="J155" s="4"/>
      <c r="K155" s="2">
        <v>64</v>
      </c>
      <c r="L155" s="6"/>
      <c r="M155" s="2" t="str">
        <f>IF(J155="",ROUND(I155*(1-IF(ISBLANK(L155),K155,L155)/100),2),ROUND(J155*(1-IF(ISBLANK(L155),K155,L155)/100),2))</f>
      </c>
      <c r="N155" s="7" t="str">
        <f>IF(NOT(AND(J155="",L155="")),IF(OR(AND(L155&lt;&gt;"",NOT(ISNUMBER(L155))),IFERROR(MOD(L155,1),1)&gt;0,AND(ISNUMBER(L155),OR(L155&lt;0,L155&gt;95))),"Введите целое число от 0 до 95",IF(OR(AND(J155&lt;&gt;"",NOT(ISNUMBER(J155))),IFERROR(MOD(J155,1),1)&gt;0,AND(ISNUMBER(J155),OR(J155&lt;50,J155&gt;20000000))),"Введите целое число от 50 до 20000000",IF(NOT(ABS(IFERROR(VALUE(LEFT(M155,FIND("-",M155)-1)),M155)*100-(2500+2000000000)/2)&lt;=ABS(2500-2000000000)/2),"Цена со скидкой должна быть от 25 до 20000000",IF(IFERROR(VALUE(LEFT(M155,FIND("-",M155)-1)),M155)*229&lt;39600,"Вы уменьшили цену в несколько раз, товар попадет в карантин цен",IF(AND(IFERROR(VALUE(I155),0)=0,ISNUMBER(J155),OR(J155&lt;226,ABS(IFERROR(VALUE(LEFT(M155,FIND("-",M155)-1)),M155))*100&lt;22600)),"Проверьте цену товара. Большинство товаров в выбранной категории стоят дороже 226",""))))),"")</f>
      </c>
    </row>
    <row r="156">
      <c r="A156" s="2" t="inlineStr">
        <is>
          <t/>
        </is>
      </c>
      <c r="B156" s="2" t="inlineStr">
        <is>
          <t>Сумки</t>
        </is>
      </c>
      <c r="C156" s="2">
        <v>451639632</v>
      </c>
      <c r="D156" s="2" t="inlineStr">
        <is>
          <t>111042</t>
        </is>
      </c>
      <c r="E156" s="2" t="inlineStr">
        <is>
          <t>2044580420795</t>
        </is>
      </c>
      <c r="F156" s="2">
        <v>0</v>
      </c>
      <c r="G156" s="2">
        <v>0</v>
      </c>
      <c r="H156" s="2">
        <v>1</v>
      </c>
      <c r="I156" s="2" t="inlineStr">
        <is>
          <t>2000</t>
        </is>
      </c>
      <c r="J156" s="4"/>
      <c r="K156" s="2">
        <v>55</v>
      </c>
      <c r="L156" s="6"/>
      <c r="M156" s="2" t="str">
        <f>IF(J156="",ROUND(I156*(1-IF(ISBLANK(L156),K156,L156)/100),2),ROUND(J156*(1-IF(ISBLANK(L156),K156,L156)/100),2))</f>
      </c>
      <c r="N156" s="7" t="str">
        <f>IF(NOT(AND(J156="",L156="")),IF(OR(AND(L156&lt;&gt;"",NOT(ISNUMBER(L156))),IFERROR(MOD(L156,1),1)&gt;0,AND(ISNUMBER(L156),OR(L156&lt;0,L156&gt;95))),"Введите целое число от 0 до 95",IF(OR(AND(J156&lt;&gt;"",NOT(ISNUMBER(J156))),IFERROR(MOD(J156,1),1)&gt;0,AND(ISNUMBER(J156),OR(J156&lt;50,J156&gt;20000000))),"Введите целое число от 50 до 20000000",IF(NOT(ABS(IFERROR(VALUE(LEFT(M156,FIND("-",M156)-1)),M156)*100-(2500+2000000000)/2)&lt;=ABS(2500-2000000000)/2),"Цена со скидкой должна быть от 25 до 20000000",IF(IFERROR(VALUE(LEFT(M156,FIND("-",M156)-1)),M156)*229&lt;89999,"Вы уменьшили цену в несколько раз, товар попадет в карантин цен",IF(AND(IFERROR(VALUE(I156),0)=0,ISNUMBER(J156),OR(J156&lt;373,ABS(IFERROR(VALUE(LEFT(M156,FIND("-",M156)-1)),M156))*100&lt;37300)),"Проверьте цену товара. Большинство товаров в выбранной категории стоят дороже 373",""))))),"")</f>
      </c>
    </row>
    <row r="157">
      <c r="A157" s="2" t="inlineStr">
        <is>
          <t>VitalEmb</t>
        </is>
      </c>
      <c r="B157" s="2" t="inlineStr">
        <is>
          <t>Декор для одежды</t>
        </is>
      </c>
      <c r="C157" s="2">
        <v>593349400</v>
      </c>
      <c r="D157" s="2" t="inlineStr">
        <is>
          <t>pzkit2mh0012_pzmh0034</t>
        </is>
      </c>
      <c r="E157" s="2" t="inlineStr">
        <is>
          <t>2047049772282</t>
        </is>
      </c>
      <c r="F157" s="2">
        <v>14</v>
      </c>
      <c r="G157" s="2">
        <v>0</v>
      </c>
      <c r="H157" s="2">
        <v>74</v>
      </c>
      <c r="I157" s="2" t="inlineStr">
        <is>
          <t>2000</t>
        </is>
      </c>
      <c r="J157" s="4"/>
      <c r="K157" s="2">
        <v>64</v>
      </c>
      <c r="L157" s="6"/>
      <c r="M157" s="2" t="str">
        <f>IF(J157="",ROUND(I157*(1-IF(ISBLANK(L157),K157,L157)/100),2),ROUND(J157*(1-IF(ISBLANK(L157),K157,L157)/100),2))</f>
      </c>
      <c r="N157" s="7" t="str">
        <f>IF(NOT(AND(J157="",L157="")),IF(OR(AND(L157&lt;&gt;"",NOT(ISNUMBER(L157))),IFERROR(MOD(L157,1),1)&gt;0,AND(ISNUMBER(L157),OR(L157&lt;0,L157&gt;95))),"Введите целое число от 0 до 95",IF(OR(AND(J157&lt;&gt;"",NOT(ISNUMBER(J157))),IFERROR(MOD(J157,1),1)&gt;0,AND(ISNUMBER(J157),OR(J157&lt;50,J157&gt;20000000))),"Введите целое число от 50 до 20000000",IF(NOT(ABS(IFERROR(VALUE(LEFT(M157,FIND("-",M157)-1)),M157)*100-(2500+2000000000)/2)&lt;=ABS(2500-2000000000)/2),"Цена со скидкой должна быть от 25 до 20000000",IF(IFERROR(VALUE(LEFT(M157,FIND("-",M157)-1)),M157)*229&lt;72000,"Вы уменьшили цену в несколько раз, товар попадет в карантин цен",IF(AND(IFERROR(VALUE(I157),0)=0,ISNUMBER(J157),OR(J157&lt;226,ABS(IFERROR(VALUE(LEFT(M157,FIND("-",M157)-1)),M157))*100&lt;22600)),"Проверьте цену товара. Большинство товаров в выбранной категории стоят дороже 226",""))))),"")</f>
      </c>
    </row>
    <row r="158">
      <c r="A158" s="2" t="inlineStr">
        <is>
          <t/>
        </is>
      </c>
      <c r="B158" s="2" t="inlineStr">
        <is>
          <t>Снуды</t>
        </is>
      </c>
      <c r="C158" s="2">
        <v>451267204</v>
      </c>
      <c r="D158" s="2" t="inlineStr">
        <is>
          <t>111041</t>
        </is>
      </c>
      <c r="E158" s="2" t="inlineStr">
        <is>
          <t>2044570033660</t>
        </is>
      </c>
      <c r="F158" s="2">
        <v>0</v>
      </c>
      <c r="G158" s="2">
        <v>0</v>
      </c>
      <c r="H158" s="2">
        <v>1</v>
      </c>
      <c r="I158" s="2" t="inlineStr">
        <is>
          <t>1000</t>
        </is>
      </c>
      <c r="J158" s="4"/>
      <c r="K158" s="2">
        <v>55</v>
      </c>
      <c r="L158" s="6"/>
      <c r="M158" s="2" t="str">
        <f>IF(J158="",ROUND(I158*(1-IF(ISBLANK(L158),K158,L158)/100),2),ROUND(J158*(1-IF(ISBLANK(L158),K158,L158)/100),2))</f>
      </c>
      <c r="N158" s="7" t="str">
        <f>IF(NOT(AND(J158="",L158="")),IF(OR(AND(L158&lt;&gt;"",NOT(ISNUMBER(L158))),IFERROR(MOD(L158,1),1)&gt;0,AND(ISNUMBER(L158),OR(L158&lt;0,L158&gt;95))),"Введите целое число от 0 до 95",IF(OR(AND(J158&lt;&gt;"",NOT(ISNUMBER(J158))),IFERROR(MOD(J158,1),1)&gt;0,AND(ISNUMBER(J158),OR(J158&lt;50,J158&gt;20000000))),"Введите целое число от 50 до 20000000",IF(NOT(ABS(IFERROR(VALUE(LEFT(M158,FIND("-",M158)-1)),M158)*100-(2500+2000000000)/2)&lt;=ABS(2500-2000000000)/2),"Цена со скидкой должна быть от 25 до 20000000",IF(IFERROR(VALUE(LEFT(M158,FIND("-",M158)-1)),M158)*229&lt;44999,"Вы уменьшили цену в несколько раз, товар попадет в карантин цен",IF(AND(IFERROR(VALUE(I158),0)=0,ISNUMBER(J158),OR(J158&lt;217,ABS(IFERROR(VALUE(LEFT(M158,FIND("-",M158)-1)),M158))*100&lt;21700)),"Проверьте цену товара. Большинство товаров в выбранной категории стоят дороже 217",""))))),"")</f>
      </c>
    </row>
    <row r="159">
      <c r="A159" s="2" t="inlineStr">
        <is>
          <t>VitalEmb</t>
        </is>
      </c>
      <c r="B159" s="2" t="inlineStr">
        <is>
          <t>Декор для одежды</t>
        </is>
      </c>
      <c r="C159" s="2">
        <v>595903194</v>
      </c>
      <c r="D159" s="2" t="inlineStr">
        <is>
          <t>brignr0005_222905</t>
        </is>
      </c>
      <c r="E159" s="2" t="inlineStr">
        <is>
          <t>2047076231295</t>
        </is>
      </c>
      <c r="F159" s="2">
        <v>4</v>
      </c>
      <c r="G159" s="2">
        <v>0</v>
      </c>
      <c r="H159" s="2">
        <v>80</v>
      </c>
      <c r="I159" s="2" t="inlineStr">
        <is>
          <t>1100</t>
        </is>
      </c>
      <c r="J159" s="4"/>
      <c r="K159" s="2">
        <v>63</v>
      </c>
      <c r="L159" s="6"/>
      <c r="M159" s="2" t="str">
        <f>IF(J159="",ROUND(I159*(1-IF(ISBLANK(L159),K159,L159)/100),2),ROUND(J159*(1-IF(ISBLANK(L159),K159,L159)/100),2))</f>
      </c>
      <c r="N159" s="7" t="str">
        <f>IF(NOT(AND(J159="",L159="")),IF(OR(AND(L159&lt;&gt;"",NOT(ISNUMBER(L159))),IFERROR(MOD(L159,1),1)&gt;0,AND(ISNUMBER(L159),OR(L159&lt;0,L159&gt;95))),"Введите целое число от 0 до 95",IF(OR(AND(J159&lt;&gt;"",NOT(ISNUMBER(J159))),IFERROR(MOD(J159,1),1)&gt;0,AND(ISNUMBER(J159),OR(J159&lt;50,J159&gt;20000000))),"Введите целое число от 50 до 20000000",IF(NOT(ABS(IFERROR(VALUE(LEFT(M159,FIND("-",M159)-1)),M159)*100-(2500+2000000000)/2)&lt;=ABS(2500-2000000000)/2),"Цена со скидкой должна быть от 25 до 20000000",IF(IFERROR(VALUE(LEFT(M159,FIND("-",M159)-1)),M159)*229&lt;40700,"Вы уменьшили цену в несколько раз, товар попадет в карантин цен",IF(AND(IFERROR(VALUE(I159),0)=0,ISNUMBER(J159),OR(J159&lt;226,ABS(IFERROR(VALUE(LEFT(M159,FIND("-",M159)-1)),M159))*100&lt;22600)),"Проверьте цену товара. Большинство товаров в выбранной категории стоят дороже 226",""))))),"")</f>
      </c>
    </row>
    <row r="160">
      <c r="A160" s="2" t="inlineStr">
        <is>
          <t>VitalEmb</t>
        </is>
      </c>
      <c r="B160" s="2" t="inlineStr">
        <is>
          <t>Декор для одежды</t>
        </is>
      </c>
      <c r="C160" s="2">
        <v>593321506</v>
      </c>
      <c r="D160" s="2" t="inlineStr">
        <is>
          <t>pzkit2mh0002_pzmh0040</t>
        </is>
      </c>
      <c r="E160" s="2" t="inlineStr">
        <is>
          <t>2047049340535</t>
        </is>
      </c>
      <c r="F160" s="2">
        <v>3</v>
      </c>
      <c r="G160" s="2">
        <v>0</v>
      </c>
      <c r="H160" s="2">
        <v>43</v>
      </c>
      <c r="I160" s="2" t="inlineStr">
        <is>
          <t>2000</t>
        </is>
      </c>
      <c r="J160" s="4"/>
      <c r="K160" s="2">
        <v>63</v>
      </c>
      <c r="L160" s="6"/>
      <c r="M160" s="2" t="str">
        <f>IF(J160="",ROUND(I160*(1-IF(ISBLANK(L160),K160,L160)/100),2),ROUND(J160*(1-IF(ISBLANK(L160),K160,L160)/100),2))</f>
      </c>
      <c r="N160" s="7" t="str">
        <f>IF(NOT(AND(J160="",L160="")),IF(OR(AND(L160&lt;&gt;"",NOT(ISNUMBER(L160))),IFERROR(MOD(L160,1),1)&gt;0,AND(ISNUMBER(L160),OR(L160&lt;0,L160&gt;95))),"Введите целое число от 0 до 95",IF(OR(AND(J160&lt;&gt;"",NOT(ISNUMBER(J160))),IFERROR(MOD(J160,1),1)&gt;0,AND(ISNUMBER(J160),OR(J160&lt;50,J160&gt;20000000))),"Введите целое число от 50 до 20000000",IF(NOT(ABS(IFERROR(VALUE(LEFT(M160,FIND("-",M160)-1)),M160)*100-(2500+2000000000)/2)&lt;=ABS(2500-2000000000)/2),"Цена со скидкой должна быть от 25 до 20000000",IF(IFERROR(VALUE(LEFT(M160,FIND("-",M160)-1)),M160)*229&lt;74000,"Вы уменьшили цену в несколько раз, товар попадет в карантин цен",IF(AND(IFERROR(VALUE(I160),0)=0,ISNUMBER(J160),OR(J160&lt;226,ABS(IFERROR(VALUE(LEFT(M160,FIND("-",M160)-1)),M160))*100&lt;22600)),"Проверьте цену товара. Большинство товаров в выбранной категории стоят дороже 226",""))))),"")</f>
      </c>
    </row>
    <row r="161">
      <c r="A161" s="2" t="inlineStr">
        <is>
          <t>VitalEmb</t>
        </is>
      </c>
      <c r="B161" s="2" t="inlineStr">
        <is>
          <t>Декор для одежды</t>
        </is>
      </c>
      <c r="C161" s="2">
        <v>607718059</v>
      </c>
      <c r="D161" s="2" t="inlineStr">
        <is>
          <t>grvspict0004_223118</t>
        </is>
      </c>
      <c r="E161" s="2" t="inlineStr">
        <is>
          <t>2047197430188</t>
        </is>
      </c>
      <c r="F161" s="2">
        <v>15</v>
      </c>
      <c r="G161" s="2">
        <v>0</v>
      </c>
      <c r="H161" s="2">
        <v>999</v>
      </c>
      <c r="I161" s="2" t="inlineStr">
        <is>
          <t>1100</t>
        </is>
      </c>
      <c r="J161" s="4"/>
      <c r="K161" s="2">
        <v>63</v>
      </c>
      <c r="L161" s="6"/>
      <c r="M161" s="2" t="str">
        <f>IF(J161="",ROUND(I161*(1-IF(ISBLANK(L161),K161,L161)/100),2),ROUND(J161*(1-IF(ISBLANK(L161),K161,L161)/100),2))</f>
      </c>
      <c r="N161" s="7" t="str">
        <f>IF(NOT(AND(J161="",L161="")),IF(OR(AND(L161&lt;&gt;"",NOT(ISNUMBER(L161))),IFERROR(MOD(L161,1),1)&gt;0,AND(ISNUMBER(L161),OR(L161&lt;0,L161&gt;95))),"Введите целое число от 0 до 95",IF(OR(AND(J161&lt;&gt;"",NOT(ISNUMBER(J161))),IFERROR(MOD(J161,1),1)&gt;0,AND(ISNUMBER(J161),OR(J161&lt;50,J161&gt;20000000))),"Введите целое число от 50 до 20000000",IF(NOT(ABS(IFERROR(VALUE(LEFT(M161,FIND("-",M161)-1)),M161)*100-(2500+2000000000)/2)&lt;=ABS(2500-2000000000)/2),"Цена со скидкой должна быть от 25 до 20000000",IF(IFERROR(VALUE(LEFT(M161,FIND("-",M161)-1)),M161)*229&lt;40700,"Вы уменьшили цену в несколько раз, товар попадет в карантин цен",IF(AND(IFERROR(VALUE(I161),0)=0,ISNUMBER(J161),OR(J161&lt;226,ABS(IFERROR(VALUE(LEFT(M161,FIND("-",M161)-1)),M161))*100&lt;22600)),"Проверьте цену товара. Большинство товаров в выбранной категории стоят дороже 226",""))))),"")</f>
      </c>
    </row>
    <row r="162">
      <c r="A162" s="2" t="inlineStr">
        <is>
          <t>VitalEmb</t>
        </is>
      </c>
      <c r="B162" s="2" t="inlineStr">
        <is>
          <t>Декор для одежды</t>
        </is>
      </c>
      <c r="C162" s="2">
        <v>611952974</v>
      </c>
      <c r="D162" s="2" t="inlineStr">
        <is>
          <t>pzngmh0005_222803</t>
        </is>
      </c>
      <c r="E162" s="2" t="inlineStr">
        <is>
          <t>2047238654351</t>
        </is>
      </c>
      <c r="F162" s="2">
        <v>9</v>
      </c>
      <c r="G162" s="2">
        <v>0</v>
      </c>
      <c r="H162" s="2">
        <v>292</v>
      </c>
      <c r="I162" s="2" t="inlineStr">
        <is>
          <t>1100</t>
        </is>
      </c>
      <c r="J162" s="4"/>
      <c r="K162" s="2">
        <v>63</v>
      </c>
      <c r="L162" s="6"/>
      <c r="M162" s="2" t="str">
        <f>IF(J162="",ROUND(I162*(1-IF(ISBLANK(L162),K162,L162)/100),2),ROUND(J162*(1-IF(ISBLANK(L162),K162,L162)/100),2))</f>
      </c>
      <c r="N162" s="7" t="str">
        <f>IF(NOT(AND(J162="",L162="")),IF(OR(AND(L162&lt;&gt;"",NOT(ISNUMBER(L162))),IFERROR(MOD(L162,1),1)&gt;0,AND(ISNUMBER(L162),OR(L162&lt;0,L162&gt;95))),"Введите целое число от 0 до 95",IF(OR(AND(J162&lt;&gt;"",NOT(ISNUMBER(J162))),IFERROR(MOD(J162,1),1)&gt;0,AND(ISNUMBER(J162),OR(J162&lt;50,J162&gt;20000000))),"Введите целое число от 50 до 20000000",IF(NOT(ABS(IFERROR(VALUE(LEFT(M162,FIND("-",M162)-1)),M162)*100-(2500+2000000000)/2)&lt;=ABS(2500-2000000000)/2),"Цена со скидкой должна быть от 25 до 20000000",IF(IFERROR(VALUE(LEFT(M162,FIND("-",M162)-1)),M162)*229&lt;40700,"Вы уменьшили цену в несколько раз, товар попадет в карантин цен",IF(AND(IFERROR(VALUE(I162),0)=0,ISNUMBER(J162),OR(J162&lt;226,ABS(IFERROR(VALUE(LEFT(M162,FIND("-",M162)-1)),M162))*100&lt;22600)),"Проверьте цену товара. Большинство товаров в выбранной категории стоят дороже 226",""))))),"")</f>
      </c>
    </row>
    <row r="163">
      <c r="A163" s="2" t="inlineStr">
        <is>
          <t>VitalEmb</t>
        </is>
      </c>
      <c r="B163" s="2" t="inlineStr">
        <is>
          <t>Декор для одежды</t>
        </is>
      </c>
      <c r="C163" s="2">
        <v>612007785</v>
      </c>
      <c r="D163" s="2" t="inlineStr">
        <is>
          <t>pzngmh0015_222776</t>
        </is>
      </c>
      <c r="E163" s="2" t="inlineStr">
        <is>
          <t>2047239783630</t>
        </is>
      </c>
      <c r="F163" s="2">
        <v>7</v>
      </c>
      <c r="G163" s="2">
        <v>0</v>
      </c>
      <c r="H163" s="2">
        <v>999</v>
      </c>
      <c r="I163" s="2" t="inlineStr">
        <is>
          <t>1100</t>
        </is>
      </c>
      <c r="J163" s="4"/>
      <c r="K163" s="2">
        <v>63</v>
      </c>
      <c r="L163" s="6"/>
      <c r="M163" s="2" t="str">
        <f>IF(J163="",ROUND(I163*(1-IF(ISBLANK(L163),K163,L163)/100),2),ROUND(J163*(1-IF(ISBLANK(L163),K163,L163)/100),2))</f>
      </c>
      <c r="N163" s="7" t="str">
        <f>IF(NOT(AND(J163="",L163="")),IF(OR(AND(L163&lt;&gt;"",NOT(ISNUMBER(L163))),IFERROR(MOD(L163,1),1)&gt;0,AND(ISNUMBER(L163),OR(L163&lt;0,L163&gt;95))),"Введите целое число от 0 до 95",IF(OR(AND(J163&lt;&gt;"",NOT(ISNUMBER(J163))),IFERROR(MOD(J163,1),1)&gt;0,AND(ISNUMBER(J163),OR(J163&lt;50,J163&gt;20000000))),"Введите целое число от 50 до 20000000",IF(NOT(ABS(IFERROR(VALUE(LEFT(M163,FIND("-",M163)-1)),M163)*100-(2500+2000000000)/2)&lt;=ABS(2500-2000000000)/2),"Цена со скидкой должна быть от 25 до 20000000",IF(IFERROR(VALUE(LEFT(M163,FIND("-",M163)-1)),M163)*229&lt;40700,"Вы уменьшили цену в несколько раз, товар попадет в карантин цен",IF(AND(IFERROR(VALUE(I163),0)=0,ISNUMBER(J163),OR(J163&lt;226,ABS(IFERROR(VALUE(LEFT(M163,FIND("-",M163)-1)),M163))*100&lt;22600)),"Проверьте цену товара. Большинство товаров в выбранной категории стоят дороже 226",""))))),"")</f>
      </c>
    </row>
    <row r="164">
      <c r="A164" s="2" t="inlineStr">
        <is>
          <t/>
        </is>
      </c>
      <c r="B164" s="2" t="inlineStr">
        <is>
          <t>Носовые платки</t>
        </is>
      </c>
      <c r="C164" s="2">
        <v>436477525</v>
      </c>
      <c r="D164" s="2" t="inlineStr">
        <is>
          <t>111020</t>
        </is>
      </c>
      <c r="E164" s="2" t="inlineStr">
        <is>
          <t>2044303587514</t>
        </is>
      </c>
      <c r="F164" s="2">
        <v>0</v>
      </c>
      <c r="G164" s="2">
        <v>0</v>
      </c>
      <c r="H164" s="2">
        <v>1</v>
      </c>
      <c r="I164" s="2" t="inlineStr">
        <is>
          <t>800</t>
        </is>
      </c>
      <c r="J164" s="4"/>
      <c r="K164" s="2">
        <v>55</v>
      </c>
      <c r="L164" s="6"/>
      <c r="M164" s="2" t="str">
        <f>IF(J164="",ROUND(I164*(1-IF(ISBLANK(L164),K164,L164)/100),2),ROUND(J164*(1-IF(ISBLANK(L164),K164,L164)/100),2))</f>
      </c>
      <c r="N164" s="7" t="str">
        <f>IF(NOT(AND(J164="",L164="")),IF(OR(AND(L164&lt;&gt;"",NOT(ISNUMBER(L164))),IFERROR(MOD(L164,1),1)&gt;0,AND(ISNUMBER(L164),OR(L164&lt;0,L164&gt;95))),"Введите целое число от 0 до 95",IF(OR(AND(J164&lt;&gt;"",NOT(ISNUMBER(J164))),IFERROR(MOD(J164,1),1)&gt;0,AND(ISNUMBER(J164),OR(J164&lt;50,J164&gt;20000000))),"Введите целое число от 50 до 20000000",IF(NOT(ABS(IFERROR(VALUE(LEFT(M164,FIND("-",M164)-1)),M164)*100-(2500+2000000000)/2)&lt;=ABS(2500-2000000000)/2),"Цена со скидкой должна быть от 25 до 20000000",IF(IFERROR(VALUE(LEFT(M164,FIND("-",M164)-1)),M164)*229&lt;35999,"Вы уменьшили цену в несколько раз, товар попадет в карантин цен",IF(AND(IFERROR(VALUE(I164),0)=0,ISNUMBER(J164),OR(J164&lt;225,ABS(IFERROR(VALUE(LEFT(M164,FIND("-",M164)-1)),M164))*100&lt;22500)),"Проверьте цену товара. Большинство товаров в выбранной категории стоят дороже 225",""))))),"")</f>
      </c>
    </row>
    <row r="165">
      <c r="A165" s="2" t="inlineStr">
        <is>
          <t>VitalEmb</t>
        </is>
      </c>
      <c r="B165" s="2" t="inlineStr">
        <is>
          <t>Декор для одежды</t>
        </is>
      </c>
      <c r="C165" s="2">
        <v>611983766</v>
      </c>
      <c r="D165" s="2" t="inlineStr">
        <is>
          <t>pzngol0013_222718</t>
        </is>
      </c>
      <c r="E165" s="2" t="inlineStr">
        <is>
          <t>2047239403705</t>
        </is>
      </c>
      <c r="F165" s="2">
        <v>7</v>
      </c>
      <c r="G165" s="2">
        <v>0</v>
      </c>
      <c r="H165" s="2">
        <v>112</v>
      </c>
      <c r="I165" s="2" t="inlineStr">
        <is>
          <t>1100</t>
        </is>
      </c>
      <c r="J165" s="4"/>
      <c r="K165" s="2">
        <v>63</v>
      </c>
      <c r="L165" s="6"/>
      <c r="M165" s="2" t="str">
        <f>IF(J165="",ROUND(I165*(1-IF(ISBLANK(L165),K165,L165)/100),2),ROUND(J165*(1-IF(ISBLANK(L165),K165,L165)/100),2))</f>
      </c>
      <c r="N165" s="7" t="str">
        <f>IF(NOT(AND(J165="",L165="")),IF(OR(AND(L165&lt;&gt;"",NOT(ISNUMBER(L165))),IFERROR(MOD(L165,1),1)&gt;0,AND(ISNUMBER(L165),OR(L165&lt;0,L165&gt;95))),"Введите целое число от 0 до 95",IF(OR(AND(J165&lt;&gt;"",NOT(ISNUMBER(J165))),IFERROR(MOD(J165,1),1)&gt;0,AND(ISNUMBER(J165),OR(J165&lt;50,J165&gt;20000000))),"Введите целое число от 50 до 20000000",IF(NOT(ABS(IFERROR(VALUE(LEFT(M165,FIND("-",M165)-1)),M165)*100-(2500+2000000000)/2)&lt;=ABS(2500-2000000000)/2),"Цена со скидкой должна быть от 25 до 20000000",IF(IFERROR(VALUE(LEFT(M165,FIND("-",M165)-1)),M165)*229&lt;40700,"Вы уменьшили цену в несколько раз, товар попадет в карантин цен",IF(AND(IFERROR(VALUE(I165),0)=0,ISNUMBER(J165),OR(J165&lt;226,ABS(IFERROR(VALUE(LEFT(M165,FIND("-",M165)-1)),M165))*100&lt;22600)),"Проверьте цену товара. Большинство товаров в выбранной категории стоят дороже 226",""))))),"")</f>
      </c>
    </row>
    <row r="166">
      <c r="A166" s="2" t="inlineStr">
        <is>
          <t>VitalEmb</t>
        </is>
      </c>
      <c r="B166" s="2" t="inlineStr">
        <is>
          <t>Декор для одежды</t>
        </is>
      </c>
      <c r="C166" s="2">
        <v>612068940</v>
      </c>
      <c r="D166" s="2" t="inlineStr">
        <is>
          <t>pzngol0014_222055</t>
        </is>
      </c>
      <c r="E166" s="2" t="inlineStr">
        <is>
          <t>2047240506389</t>
        </is>
      </c>
      <c r="F166" s="2">
        <v>14</v>
      </c>
      <c r="G166" s="2">
        <v>0</v>
      </c>
      <c r="H166" s="2">
        <v>221</v>
      </c>
      <c r="I166" s="2" t="inlineStr">
        <is>
          <t>1100</t>
        </is>
      </c>
      <c r="J166" s="4"/>
      <c r="K166" s="2">
        <v>64</v>
      </c>
      <c r="L166" s="6"/>
      <c r="M166" s="2" t="str">
        <f>IF(J166="",ROUND(I166*(1-IF(ISBLANK(L166),K166,L166)/100),2),ROUND(J166*(1-IF(ISBLANK(L166),K166,L166)/100),2))</f>
      </c>
      <c r="N166" s="7" t="str">
        <f>IF(NOT(AND(J166="",L166="")),IF(OR(AND(L166&lt;&gt;"",NOT(ISNUMBER(L166))),IFERROR(MOD(L166,1),1)&gt;0,AND(ISNUMBER(L166),OR(L166&lt;0,L166&gt;95))),"Введите целое число от 0 до 95",IF(OR(AND(J166&lt;&gt;"",NOT(ISNUMBER(J166))),IFERROR(MOD(J166,1),1)&gt;0,AND(ISNUMBER(J166),OR(J166&lt;50,J166&gt;20000000))),"Введите целое число от 50 до 20000000",IF(NOT(ABS(IFERROR(VALUE(LEFT(M166,FIND("-",M166)-1)),M166)*100-(2500+2000000000)/2)&lt;=ABS(2500-2000000000)/2),"Цена со скидкой должна быть от 25 до 20000000",IF(IFERROR(VALUE(LEFT(M166,FIND("-",M166)-1)),M166)*229&lt;39600,"Вы уменьшили цену в несколько раз, товар попадет в карантин цен",IF(AND(IFERROR(VALUE(I166),0)=0,ISNUMBER(J166),OR(J166&lt;226,ABS(IFERROR(VALUE(LEFT(M166,FIND("-",M166)-1)),M166))*100&lt;22600)),"Проверьте цену товара. Большинство товаров в выбранной категории стоят дороже 226",""))))),"")</f>
      </c>
    </row>
    <row r="167">
      <c r="A167" s="2" t="inlineStr">
        <is>
          <t/>
        </is>
      </c>
      <c r="B167" s="2" t="inlineStr">
        <is>
          <t>Сумки</t>
        </is>
      </c>
      <c r="C167" s="2">
        <v>436480845</v>
      </c>
      <c r="D167" s="2" t="inlineStr">
        <is>
          <t>111017</t>
        </is>
      </c>
      <c r="E167" s="2" t="inlineStr">
        <is>
          <t>2044303639084</t>
        </is>
      </c>
      <c r="F167" s="2">
        <v>3</v>
      </c>
      <c r="G167" s="2">
        <v>0</v>
      </c>
      <c r="H167" s="2">
        <v>35</v>
      </c>
      <c r="I167" s="2" t="inlineStr">
        <is>
          <t>2000</t>
        </is>
      </c>
      <c r="J167" s="4"/>
      <c r="K167" s="2">
        <v>69</v>
      </c>
      <c r="L167" s="6"/>
      <c r="M167" s="2" t="str">
        <f>IF(J167="",ROUND(I167*(1-IF(ISBLANK(L167),K167,L167)/100),2),ROUND(J167*(1-IF(ISBLANK(L167),K167,L167)/100),2))</f>
      </c>
      <c r="N167" s="7" t="str">
        <f>IF(NOT(AND(J167="",L167="")),IF(OR(AND(L167&lt;&gt;"",NOT(ISNUMBER(L167))),IFERROR(MOD(L167,1),1)&gt;0,AND(ISNUMBER(L167),OR(L167&lt;0,L167&gt;95))),"Введите целое число от 0 до 95",IF(OR(AND(J167&lt;&gt;"",NOT(ISNUMBER(J167))),IFERROR(MOD(J167,1),1)&gt;0,AND(ISNUMBER(J167),OR(J167&lt;50,J167&gt;20000000))),"Введите целое число от 50 до 20000000",IF(NOT(ABS(IFERROR(VALUE(LEFT(M167,FIND("-",M167)-1)),M167)*100-(2500+2000000000)/2)&lt;=ABS(2500-2000000000)/2),"Цена со скидкой должна быть от 25 до 20000000",IF(IFERROR(VALUE(LEFT(M167,FIND("-",M167)-1)),M167)*229&lt;62000,"Вы уменьшили цену в несколько раз, товар попадет в карантин цен",IF(AND(IFERROR(VALUE(I167),0)=0,ISNUMBER(J167),OR(J167&lt;373,ABS(IFERROR(VALUE(LEFT(M167,FIND("-",M167)-1)),M167))*100&lt;37300)),"Проверьте цену товара. Большинство товаров в выбранной категории стоят дороже 373",""))))),"")</f>
      </c>
    </row>
    <row r="168">
      <c r="A168" s="2" t="inlineStr">
        <is>
          <t/>
        </is>
      </c>
      <c r="B168" s="2" t="inlineStr">
        <is>
          <t>Сумки</t>
        </is>
      </c>
      <c r="C168" s="2">
        <v>440369316</v>
      </c>
      <c r="D168" s="2" t="inlineStr">
        <is>
          <t>111032</t>
        </is>
      </c>
      <c r="E168" s="2" t="inlineStr">
        <is>
          <t>2044398825294</t>
        </is>
      </c>
      <c r="F168" s="2">
        <v>8</v>
      </c>
      <c r="G168" s="2">
        <v>0</v>
      </c>
      <c r="H168" s="2">
        <v>45</v>
      </c>
      <c r="I168" s="2" t="inlineStr">
        <is>
          <t>2000</t>
        </is>
      </c>
      <c r="J168" s="4"/>
      <c r="K168" s="2">
        <v>69</v>
      </c>
      <c r="L168" s="6"/>
      <c r="M168" s="2" t="str">
        <f>IF(J168="",ROUND(I168*(1-IF(ISBLANK(L168),K168,L168)/100),2),ROUND(J168*(1-IF(ISBLANK(L168),K168,L168)/100),2))</f>
      </c>
      <c r="N168" s="7" t="str">
        <f>IF(NOT(AND(J168="",L168="")),IF(OR(AND(L168&lt;&gt;"",NOT(ISNUMBER(L168))),IFERROR(MOD(L168,1),1)&gt;0,AND(ISNUMBER(L168),OR(L168&lt;0,L168&gt;95))),"Введите целое число от 0 до 95",IF(OR(AND(J168&lt;&gt;"",NOT(ISNUMBER(J168))),IFERROR(MOD(J168,1),1)&gt;0,AND(ISNUMBER(J168),OR(J168&lt;50,J168&gt;20000000))),"Введите целое число от 50 до 20000000",IF(NOT(ABS(IFERROR(VALUE(LEFT(M168,FIND("-",M168)-1)),M168)*100-(2500+2000000000)/2)&lt;=ABS(2500-2000000000)/2),"Цена со скидкой должна быть от 25 до 20000000",IF(IFERROR(VALUE(LEFT(M168,FIND("-",M168)-1)),M168)*229&lt;62000,"Вы уменьшили цену в несколько раз, товар попадет в карантин цен",IF(AND(IFERROR(VALUE(I168),0)=0,ISNUMBER(J168),OR(J168&lt;373,ABS(IFERROR(VALUE(LEFT(M168,FIND("-",M168)-1)),M168))*100&lt;37300)),"Проверьте цену товара. Большинство товаров в выбранной категории стоят дороже 373",""))))),"")</f>
      </c>
    </row>
    <row r="169">
      <c r="A169" s="2" t="inlineStr">
        <is>
          <t>VitalEmb</t>
        </is>
      </c>
      <c r="B169" s="2" t="inlineStr">
        <is>
          <t>Декор для одежды</t>
        </is>
      </c>
      <c r="C169" s="2">
        <v>613053936</v>
      </c>
      <c r="D169" s="2" t="inlineStr">
        <is>
          <t>pzngol0033_222181</t>
        </is>
      </c>
      <c r="E169" s="2" t="inlineStr">
        <is>
          <t>2047255577596</t>
        </is>
      </c>
      <c r="F169" s="2">
        <v>17</v>
      </c>
      <c r="G169" s="2">
        <v>0</v>
      </c>
      <c r="H169" s="2">
        <v>999</v>
      </c>
      <c r="I169" s="2" t="inlineStr">
        <is>
          <t>1100</t>
        </is>
      </c>
      <c r="J169" s="4"/>
      <c r="K169" s="2">
        <v>63</v>
      </c>
      <c r="L169" s="6"/>
      <c r="M169" s="2" t="str">
        <f>IF(J169="",ROUND(I169*(1-IF(ISBLANK(L169),K169,L169)/100),2),ROUND(J169*(1-IF(ISBLANK(L169),K169,L169)/100),2))</f>
      </c>
      <c r="N169" s="7" t="str">
        <f>IF(NOT(AND(J169="",L169="")),IF(OR(AND(L169&lt;&gt;"",NOT(ISNUMBER(L169))),IFERROR(MOD(L169,1),1)&gt;0,AND(ISNUMBER(L169),OR(L169&lt;0,L169&gt;95))),"Введите целое число от 0 до 95",IF(OR(AND(J169&lt;&gt;"",NOT(ISNUMBER(J169))),IFERROR(MOD(J169,1),1)&gt;0,AND(ISNUMBER(J169),OR(J169&lt;50,J169&gt;20000000))),"Введите целое число от 50 до 20000000",IF(NOT(ABS(IFERROR(VALUE(LEFT(M169,FIND("-",M169)-1)),M169)*100-(2500+2000000000)/2)&lt;=ABS(2500-2000000000)/2),"Цена со скидкой должна быть от 25 до 20000000",IF(IFERROR(VALUE(LEFT(M169,FIND("-",M169)-1)),M169)*229&lt;40700,"Вы уменьшили цену в несколько раз, товар попадет в карантин цен",IF(AND(IFERROR(VALUE(I169),0)=0,ISNUMBER(J169),OR(J169&lt;226,ABS(IFERROR(VALUE(LEFT(M169,FIND("-",M169)-1)),M169))*100&lt;22600)),"Проверьте цену товара. Большинство товаров в выбранной категории стоят дороже 226",""))))),"")</f>
      </c>
    </row>
    <row r="170">
      <c r="A170" s="2" t="inlineStr">
        <is>
          <t>VitalEmb</t>
        </is>
      </c>
      <c r="B170" s="2" t="inlineStr">
        <is>
          <t>Декор для одежды</t>
        </is>
      </c>
      <c r="C170" s="2">
        <v>612063906</v>
      </c>
      <c r="D170" s="2" t="inlineStr">
        <is>
          <t>pzngmh0017_222704</t>
        </is>
      </c>
      <c r="E170" s="2" t="inlineStr">
        <is>
          <t>2047240536027</t>
        </is>
      </c>
      <c r="F170" s="2">
        <v>16</v>
      </c>
      <c r="G170" s="2">
        <v>0</v>
      </c>
      <c r="H170" s="2">
        <v>999</v>
      </c>
      <c r="I170" s="2" t="inlineStr">
        <is>
          <t>1100</t>
        </is>
      </c>
      <c r="J170" s="4"/>
      <c r="K170" s="2">
        <v>63</v>
      </c>
      <c r="L170" s="6"/>
      <c r="M170" s="2" t="str">
        <f>IF(J170="",ROUND(I170*(1-IF(ISBLANK(L170),K170,L170)/100),2),ROUND(J170*(1-IF(ISBLANK(L170),K170,L170)/100),2))</f>
      </c>
      <c r="N170" s="7" t="str">
        <f>IF(NOT(AND(J170="",L170="")),IF(OR(AND(L170&lt;&gt;"",NOT(ISNUMBER(L170))),IFERROR(MOD(L170,1),1)&gt;0,AND(ISNUMBER(L170),OR(L170&lt;0,L170&gt;95))),"Введите целое число от 0 до 95",IF(OR(AND(J170&lt;&gt;"",NOT(ISNUMBER(J170))),IFERROR(MOD(J170,1),1)&gt;0,AND(ISNUMBER(J170),OR(J170&lt;50,J170&gt;20000000))),"Введите целое число от 50 до 20000000",IF(NOT(ABS(IFERROR(VALUE(LEFT(M170,FIND("-",M170)-1)),M170)*100-(2500+2000000000)/2)&lt;=ABS(2500-2000000000)/2),"Цена со скидкой должна быть от 25 до 20000000",IF(IFERROR(VALUE(LEFT(M170,FIND("-",M170)-1)),M170)*229&lt;40700,"Вы уменьшили цену в несколько раз, товар попадет в карантин цен",IF(AND(IFERROR(VALUE(I170),0)=0,ISNUMBER(J170),OR(J170&lt;226,ABS(IFERROR(VALUE(LEFT(M170,FIND("-",M170)-1)),M170))*100&lt;22600)),"Проверьте цену товара. Большинство товаров в выбранной категории стоят дороже 226",""))))),"")</f>
      </c>
    </row>
    <row r="171">
      <c r="A171" s="2" t="inlineStr">
        <is>
          <t/>
        </is>
      </c>
      <c r="B171" s="2" t="inlineStr">
        <is>
          <t>Декор для одежды</t>
        </is>
      </c>
      <c r="C171" s="2">
        <v>436475473</v>
      </c>
      <c r="D171" s="2" t="inlineStr">
        <is>
          <t>111022</t>
        </is>
      </c>
      <c r="E171" s="2" t="inlineStr">
        <is>
          <t>2044303541523</t>
        </is>
      </c>
      <c r="F171" s="2">
        <v>20</v>
      </c>
      <c r="G171" s="2">
        <v>0</v>
      </c>
      <c r="H171" s="2">
        <v>999</v>
      </c>
      <c r="I171" s="2" t="inlineStr">
        <is>
          <t>1000</t>
        </is>
      </c>
      <c r="J171" s="4"/>
      <c r="K171" s="2">
        <v>63</v>
      </c>
      <c r="L171" s="6"/>
      <c r="M171" s="2" t="str">
        <f>IF(J171="",ROUND(I171*(1-IF(ISBLANK(L171),K171,L171)/100),2),ROUND(J171*(1-IF(ISBLANK(L171),K171,L171)/100),2))</f>
      </c>
      <c r="N171" s="7" t="str">
        <f>IF(NOT(AND(J171="",L171="")),IF(OR(AND(L171&lt;&gt;"",NOT(ISNUMBER(L171))),IFERROR(MOD(L171,1),1)&gt;0,AND(ISNUMBER(L171),OR(L171&lt;0,L171&gt;95))),"Введите целое число от 0 до 95",IF(OR(AND(J171&lt;&gt;"",NOT(ISNUMBER(J171))),IFERROR(MOD(J171,1),1)&gt;0,AND(ISNUMBER(J171),OR(J171&lt;50,J171&gt;20000000))),"Введите целое число от 50 до 20000000",IF(NOT(ABS(IFERROR(VALUE(LEFT(M171,FIND("-",M171)-1)),M171)*100-(2500+2000000000)/2)&lt;=ABS(2500-2000000000)/2),"Цена со скидкой должна быть от 25 до 20000000",IF(IFERROR(VALUE(LEFT(M171,FIND("-",M171)-1)),M171)*229&lt;37000,"Вы уменьшили цену в несколько раз, товар попадет в карантин цен",IF(AND(IFERROR(VALUE(I171),0)=0,ISNUMBER(J171),OR(J171&lt;226,ABS(IFERROR(VALUE(LEFT(M171,FIND("-",M171)-1)),M171))*100&lt;22600)),"Проверьте цену товара. Большинство товаров в выбранной категории стоят дороже 226",""))))),"")</f>
      </c>
    </row>
    <row r="172">
      <c r="A172" s="2" t="inlineStr">
        <is>
          <t>VitalEmb</t>
        </is>
      </c>
      <c r="B172" s="2" t="inlineStr">
        <is>
          <t>Декор для одежды</t>
        </is>
      </c>
      <c r="C172" s="2">
        <v>613238966</v>
      </c>
      <c r="D172" s="2" t="inlineStr">
        <is>
          <t>pzngol0049_222565</t>
        </is>
      </c>
      <c r="E172" s="2" t="inlineStr">
        <is>
          <t>2047259625484</t>
        </is>
      </c>
      <c r="F172" s="2">
        <v>20</v>
      </c>
      <c r="G172" s="2">
        <v>0</v>
      </c>
      <c r="H172" s="2">
        <v>999</v>
      </c>
      <c r="I172" s="2" t="inlineStr">
        <is>
          <t>1100</t>
        </is>
      </c>
      <c r="J172" s="4"/>
      <c r="K172" s="2">
        <v>63</v>
      </c>
      <c r="L172" s="6"/>
      <c r="M172" s="2" t="str">
        <f>IF(J172="",ROUND(I172*(1-IF(ISBLANK(L172),K172,L172)/100),2),ROUND(J172*(1-IF(ISBLANK(L172),K172,L172)/100),2))</f>
      </c>
      <c r="N172" s="7" t="str">
        <f>IF(NOT(AND(J172="",L172="")),IF(OR(AND(L172&lt;&gt;"",NOT(ISNUMBER(L172))),IFERROR(MOD(L172,1),1)&gt;0,AND(ISNUMBER(L172),OR(L172&lt;0,L172&gt;95))),"Введите целое число от 0 до 95",IF(OR(AND(J172&lt;&gt;"",NOT(ISNUMBER(J172))),IFERROR(MOD(J172,1),1)&gt;0,AND(ISNUMBER(J172),OR(J172&lt;50,J172&gt;20000000))),"Введите целое число от 50 до 20000000",IF(NOT(ABS(IFERROR(VALUE(LEFT(M172,FIND("-",M172)-1)),M172)*100-(2500+2000000000)/2)&lt;=ABS(2500-2000000000)/2),"Цена со скидкой должна быть от 25 до 20000000",IF(IFERROR(VALUE(LEFT(M172,FIND("-",M172)-1)),M172)*229&lt;40700,"Вы уменьшили цену в несколько раз, товар попадет в карантин цен",IF(AND(IFERROR(VALUE(I172),0)=0,ISNUMBER(J172),OR(J172&lt;226,ABS(IFERROR(VALUE(LEFT(M172,FIND("-",M172)-1)),M172))*100&lt;22600)),"Проверьте цену товара. Большинство товаров в выбранной категории стоят дороже 226",""))))),"")</f>
      </c>
    </row>
    <row r="173">
      <c r="A173" s="2" t="inlineStr">
        <is>
          <t>VitalEmb</t>
        </is>
      </c>
      <c r="B173" s="2" t="inlineStr">
        <is>
          <t>Декор для одежды</t>
        </is>
      </c>
      <c r="C173" s="2">
        <v>612408173</v>
      </c>
      <c r="D173" s="2" t="inlineStr">
        <is>
          <t>pzngol0028_222060</t>
        </is>
      </c>
      <c r="E173" s="2" t="inlineStr">
        <is>
          <t>2047245782559</t>
        </is>
      </c>
      <c r="F173" s="2">
        <v>17</v>
      </c>
      <c r="G173" s="2">
        <v>0</v>
      </c>
      <c r="H173" s="2">
        <v>525</v>
      </c>
      <c r="I173" s="2" t="inlineStr">
        <is>
          <t>1100</t>
        </is>
      </c>
      <c r="J173" s="4"/>
      <c r="K173" s="2">
        <v>63</v>
      </c>
      <c r="L173" s="6"/>
      <c r="M173" s="2" t="str">
        <f>IF(J173="",ROUND(I173*(1-IF(ISBLANK(L173),K173,L173)/100),2),ROUND(J173*(1-IF(ISBLANK(L173),K173,L173)/100),2))</f>
      </c>
      <c r="N173" s="7" t="str">
        <f>IF(NOT(AND(J173="",L173="")),IF(OR(AND(L173&lt;&gt;"",NOT(ISNUMBER(L173))),IFERROR(MOD(L173,1),1)&gt;0,AND(ISNUMBER(L173),OR(L173&lt;0,L173&gt;95))),"Введите целое число от 0 до 95",IF(OR(AND(J173&lt;&gt;"",NOT(ISNUMBER(J173))),IFERROR(MOD(J173,1),1)&gt;0,AND(ISNUMBER(J173),OR(J173&lt;50,J173&gt;20000000))),"Введите целое число от 50 до 20000000",IF(NOT(ABS(IFERROR(VALUE(LEFT(M173,FIND("-",M173)-1)),M173)*100-(2500+2000000000)/2)&lt;=ABS(2500-2000000000)/2),"Цена со скидкой должна быть от 25 до 20000000",IF(IFERROR(VALUE(LEFT(M173,FIND("-",M173)-1)),M173)*229&lt;40700,"Вы уменьшили цену в несколько раз, товар попадет в карантин цен",IF(AND(IFERROR(VALUE(I173),0)=0,ISNUMBER(J173),OR(J173&lt;226,ABS(IFERROR(VALUE(LEFT(M173,FIND("-",M173)-1)),M173))*100&lt;22600)),"Проверьте цену товара. Большинство товаров в выбранной категории стоят дороже 226",""))))),"")</f>
      </c>
    </row>
    <row r="174">
      <c r="A174" s="2" t="inlineStr">
        <is>
          <t>VitalEmb</t>
        </is>
      </c>
      <c r="B174" s="2" t="inlineStr">
        <is>
          <t>Декор для одежды</t>
        </is>
      </c>
      <c r="C174" s="2">
        <v>591288476</v>
      </c>
      <c r="D174" s="2" t="inlineStr">
        <is>
          <t>ynng0001_form0026_222628</t>
        </is>
      </c>
      <c r="E174" s="2" t="inlineStr">
        <is>
          <t>2047032069009</t>
        </is>
      </c>
      <c r="F174" s="2">
        <v>17</v>
      </c>
      <c r="G174" s="2">
        <v>0</v>
      </c>
      <c r="H174" s="2">
        <v>999</v>
      </c>
      <c r="I174" s="2" t="inlineStr">
        <is>
          <t>1100</t>
        </is>
      </c>
      <c r="J174" s="4"/>
      <c r="K174" s="2">
        <v>65</v>
      </c>
      <c r="L174" s="6"/>
      <c r="M174" s="2" t="str">
        <f>IF(J174="",ROUND(I174*(1-IF(ISBLANK(L174),K174,L174)/100),2),ROUND(J174*(1-IF(ISBLANK(L174),K174,L174)/100),2))</f>
      </c>
      <c r="N174" s="7" t="str">
        <f>IF(NOT(AND(J174="",L174="")),IF(OR(AND(L174&lt;&gt;"",NOT(ISNUMBER(L174))),IFERROR(MOD(L174,1),1)&gt;0,AND(ISNUMBER(L174),OR(L174&lt;0,L174&gt;95))),"Введите целое число от 0 до 95",IF(OR(AND(J174&lt;&gt;"",NOT(ISNUMBER(J174))),IFERROR(MOD(J174,1),1)&gt;0,AND(ISNUMBER(J174),OR(J174&lt;50,J174&gt;20000000))),"Введите целое число от 50 до 20000000",IF(NOT(ABS(IFERROR(VALUE(LEFT(M174,FIND("-",M174)-1)),M174)*100-(2500+2000000000)/2)&lt;=ABS(2500-2000000000)/2),"Цена со скидкой должна быть от 25 до 20000000",IF(IFERROR(VALUE(LEFT(M174,FIND("-",M174)-1)),M174)*229&lt;38500,"Вы уменьшили цену в несколько раз, товар попадет в карантин цен",IF(AND(IFERROR(VALUE(I174),0)=0,ISNUMBER(J174),OR(J174&lt;226,ABS(IFERROR(VALUE(LEFT(M174,FIND("-",M174)-1)),M174))*100&lt;22600)),"Проверьте цену товара. Большинство товаров в выбранной категории стоят дороже 226",""))))),"")</f>
      </c>
    </row>
    <row r="175">
      <c r="A175" s="2" t="inlineStr">
        <is>
          <t>VitalEmb</t>
        </is>
      </c>
      <c r="B175" s="2" t="inlineStr">
        <is>
          <t>Декор для одежды</t>
        </is>
      </c>
      <c r="C175" s="2">
        <v>612414583</v>
      </c>
      <c r="D175" s="2" t="inlineStr">
        <is>
          <t>pzngol0031_222726</t>
        </is>
      </c>
      <c r="E175" s="2" t="inlineStr">
        <is>
          <t>2047245882518</t>
        </is>
      </c>
      <c r="F175" s="2">
        <v>6</v>
      </c>
      <c r="G175" s="2">
        <v>0</v>
      </c>
      <c r="H175" s="2">
        <v>90</v>
      </c>
      <c r="I175" s="2" t="inlineStr">
        <is>
          <t>1100</t>
        </is>
      </c>
      <c r="J175" s="4"/>
      <c r="K175" s="2">
        <v>64</v>
      </c>
      <c r="L175" s="6"/>
      <c r="M175" s="2" t="str">
        <f>IF(J175="",ROUND(I175*(1-IF(ISBLANK(L175),K175,L175)/100),2),ROUND(J175*(1-IF(ISBLANK(L175),K175,L175)/100),2))</f>
      </c>
      <c r="N175" s="7" t="str">
        <f>IF(NOT(AND(J175="",L175="")),IF(OR(AND(L175&lt;&gt;"",NOT(ISNUMBER(L175))),IFERROR(MOD(L175,1),1)&gt;0,AND(ISNUMBER(L175),OR(L175&lt;0,L175&gt;95))),"Введите целое число от 0 до 95",IF(OR(AND(J175&lt;&gt;"",NOT(ISNUMBER(J175))),IFERROR(MOD(J175,1),1)&gt;0,AND(ISNUMBER(J175),OR(J175&lt;50,J175&gt;20000000))),"Введите целое число от 50 до 20000000",IF(NOT(ABS(IFERROR(VALUE(LEFT(M175,FIND("-",M175)-1)),M175)*100-(2500+2000000000)/2)&lt;=ABS(2500-2000000000)/2),"Цена со скидкой должна быть от 25 до 20000000",IF(IFERROR(VALUE(LEFT(M175,FIND("-",M175)-1)),M175)*229&lt;39600,"Вы уменьшили цену в несколько раз, товар попадет в карантин цен",IF(AND(IFERROR(VALUE(I175),0)=0,ISNUMBER(J175),OR(J175&lt;226,ABS(IFERROR(VALUE(LEFT(M175,FIND("-",M175)-1)),M175))*100&lt;22600)),"Проверьте цену товара. Большинство товаров в выбранной категории стоят дороже 226",""))))),"")</f>
      </c>
    </row>
    <row r="176">
      <c r="A176" s="2" t="inlineStr">
        <is>
          <t>VitalEmb</t>
        </is>
      </c>
      <c r="B176" s="2" t="inlineStr">
        <is>
          <t>Декор для одежды</t>
        </is>
      </c>
      <c r="C176" s="2">
        <v>613234778</v>
      </c>
      <c r="D176" s="2" t="inlineStr">
        <is>
          <t>pzngol0048_222184</t>
        </is>
      </c>
      <c r="E176" s="2" t="inlineStr">
        <is>
          <t>2047259567777</t>
        </is>
      </c>
      <c r="F176" s="2">
        <v>13</v>
      </c>
      <c r="G176" s="2">
        <v>0</v>
      </c>
      <c r="H176" s="2">
        <v>204</v>
      </c>
      <c r="I176" s="2" t="inlineStr">
        <is>
          <t>1100</t>
        </is>
      </c>
      <c r="J176" s="4"/>
      <c r="K176" s="2">
        <v>64</v>
      </c>
      <c r="L176" s="6"/>
      <c r="M176" s="2" t="str">
        <f>IF(J176="",ROUND(I176*(1-IF(ISBLANK(L176),K176,L176)/100),2),ROUND(J176*(1-IF(ISBLANK(L176),K176,L176)/100),2))</f>
      </c>
      <c r="N176" s="7" t="str">
        <f>IF(NOT(AND(J176="",L176="")),IF(OR(AND(L176&lt;&gt;"",NOT(ISNUMBER(L176))),IFERROR(MOD(L176,1),1)&gt;0,AND(ISNUMBER(L176),OR(L176&lt;0,L176&gt;95))),"Введите целое число от 0 до 95",IF(OR(AND(J176&lt;&gt;"",NOT(ISNUMBER(J176))),IFERROR(MOD(J176,1),1)&gt;0,AND(ISNUMBER(J176),OR(J176&lt;50,J176&gt;20000000))),"Введите целое число от 50 до 20000000",IF(NOT(ABS(IFERROR(VALUE(LEFT(M176,FIND("-",M176)-1)),M176)*100-(2500+2000000000)/2)&lt;=ABS(2500-2000000000)/2),"Цена со скидкой должна быть от 25 до 20000000",IF(IFERROR(VALUE(LEFT(M176,FIND("-",M176)-1)),M176)*229&lt;39600,"Вы уменьшили цену в несколько раз, товар попадет в карантин цен",IF(AND(IFERROR(VALUE(I176),0)=0,ISNUMBER(J176),OR(J176&lt;226,ABS(IFERROR(VALUE(LEFT(M176,FIND("-",M176)-1)),M176))*100&lt;22600)),"Проверьте цену товара. Большинство товаров в выбранной категории стоят дороже 226",""))))),"")</f>
      </c>
    </row>
    <row r="177">
      <c r="A177" s="2" t="inlineStr">
        <is>
          <t/>
        </is>
      </c>
      <c r="B177" s="2" t="inlineStr">
        <is>
          <t>Носовые платки</t>
        </is>
      </c>
      <c r="C177" s="2">
        <v>436477526</v>
      </c>
      <c r="D177" s="2" t="inlineStr">
        <is>
          <t>111019</t>
        </is>
      </c>
      <c r="E177" s="2" t="inlineStr">
        <is>
          <t>2044303591320</t>
        </is>
      </c>
      <c r="F177" s="2">
        <v>0</v>
      </c>
      <c r="G177" s="2">
        <v>0</v>
      </c>
      <c r="H177" s="2">
        <v>1</v>
      </c>
      <c r="I177" s="2" t="inlineStr">
        <is>
          <t>600</t>
        </is>
      </c>
      <c r="J177" s="4"/>
      <c r="K177" s="2">
        <v>55</v>
      </c>
      <c r="L177" s="6"/>
      <c r="M177" s="2" t="str">
        <f>IF(J177="",ROUND(I177*(1-IF(ISBLANK(L177),K177,L177)/100),2),ROUND(J177*(1-IF(ISBLANK(L177),K177,L177)/100),2))</f>
      </c>
      <c r="N177" s="7" t="str">
        <f>IF(NOT(AND(J177="",L177="")),IF(OR(AND(L177&lt;&gt;"",NOT(ISNUMBER(L177))),IFERROR(MOD(L177,1),1)&gt;0,AND(ISNUMBER(L177),OR(L177&lt;0,L177&gt;95))),"Введите целое число от 0 до 95",IF(OR(AND(J177&lt;&gt;"",NOT(ISNUMBER(J177))),IFERROR(MOD(J177,1),1)&gt;0,AND(ISNUMBER(J177),OR(J177&lt;50,J177&gt;20000000))),"Введите целое число от 50 до 20000000",IF(NOT(ABS(IFERROR(VALUE(LEFT(M177,FIND("-",M177)-1)),M177)*100-(2500+2000000000)/2)&lt;=ABS(2500-2000000000)/2),"Цена со скидкой должна быть от 25 до 20000000",IF(IFERROR(VALUE(LEFT(M177,FIND("-",M177)-1)),M177)*229&lt;27000,"Вы уменьшили цену в несколько раз, товар попадет в карантин цен",IF(AND(IFERROR(VALUE(I177),0)=0,ISNUMBER(J177),OR(J177&lt;225,ABS(IFERROR(VALUE(LEFT(M177,FIND("-",M177)-1)),M177))*100&lt;22500)),"Проверьте цену товара. Большинство товаров в выбранной категории стоят дороже 225",""))))),"")</f>
      </c>
    </row>
    <row r="178">
      <c r="A178" s="2" t="inlineStr">
        <is>
          <t>VitalEmb</t>
        </is>
      </c>
      <c r="B178" s="2" t="inlineStr">
        <is>
          <t>Декор для одежды</t>
        </is>
      </c>
      <c r="C178" s="2">
        <v>607721809</v>
      </c>
      <c r="D178" s="2" t="inlineStr">
        <is>
          <t>grvspict0007_222502</t>
        </is>
      </c>
      <c r="E178" s="2" t="inlineStr">
        <is>
          <t>2047197466286</t>
        </is>
      </c>
      <c r="F178" s="2">
        <v>14</v>
      </c>
      <c r="G178" s="2">
        <v>0</v>
      </c>
      <c r="H178" s="2">
        <v>1</v>
      </c>
      <c r="I178" s="2" t="inlineStr">
        <is>
          <t>1100</t>
        </is>
      </c>
      <c r="J178" s="4"/>
      <c r="K178" s="2">
        <v>55</v>
      </c>
      <c r="L178" s="6"/>
      <c r="M178" s="2" t="str">
        <f>IF(J178="",ROUND(I178*(1-IF(ISBLANK(L178),K178,L178)/100),2),ROUND(J178*(1-IF(ISBLANK(L178),K178,L178)/100),2))</f>
      </c>
      <c r="N178" s="7" t="str">
        <f>IF(NOT(AND(J178="",L178="")),IF(OR(AND(L178&lt;&gt;"",NOT(ISNUMBER(L178))),IFERROR(MOD(L178,1),1)&gt;0,AND(ISNUMBER(L178),OR(L178&lt;0,L178&gt;95))),"Введите целое число от 0 до 95",IF(OR(AND(J178&lt;&gt;"",NOT(ISNUMBER(J178))),IFERROR(MOD(J178,1),1)&gt;0,AND(ISNUMBER(J178),OR(J178&lt;50,J178&gt;20000000))),"Введите целое число от 50 до 20000000",IF(NOT(ABS(IFERROR(VALUE(LEFT(M178,FIND("-",M178)-1)),M178)*100-(2500+2000000000)/2)&lt;=ABS(2500-2000000000)/2),"Цена со скидкой должна быть от 25 до 20000000",IF(IFERROR(VALUE(LEFT(M178,FIND("-",M178)-1)),M178)*229&lt;49499,"Вы уменьшили цену в несколько раз, товар попадет в карантин цен",IF(AND(IFERROR(VALUE(I178),0)=0,ISNUMBER(J178),OR(J178&lt;226,ABS(IFERROR(VALUE(LEFT(M178,FIND("-",M178)-1)),M178))*100&lt;22600)),"Проверьте цену товара. Большинство товаров в выбранной категории стоят дороже 226",""))))),"")</f>
      </c>
    </row>
    <row r="179">
      <c r="A179" s="2" t="inlineStr">
        <is>
          <t>VitalEmb</t>
        </is>
      </c>
      <c r="B179" s="2" t="inlineStr">
        <is>
          <t>Декор для одежды</t>
        </is>
      </c>
      <c r="C179" s="2">
        <v>612004953</v>
      </c>
      <c r="D179" s="2" t="inlineStr">
        <is>
          <t>pzngol0019_222935</t>
        </is>
      </c>
      <c r="E179" s="2" t="inlineStr">
        <is>
          <t>2047239727641</t>
        </is>
      </c>
      <c r="F179" s="2">
        <v>15</v>
      </c>
      <c r="G179" s="2">
        <v>0</v>
      </c>
      <c r="H179" s="2">
        <v>240</v>
      </c>
      <c r="I179" s="2" t="inlineStr">
        <is>
          <t>1100</t>
        </is>
      </c>
      <c r="J179" s="4"/>
      <c r="K179" s="2">
        <v>63</v>
      </c>
      <c r="L179" s="6"/>
      <c r="M179" s="2" t="str">
        <f>IF(J179="",ROUND(I179*(1-IF(ISBLANK(L179),K179,L179)/100),2),ROUND(J179*(1-IF(ISBLANK(L179),K179,L179)/100),2))</f>
      </c>
      <c r="N179" s="7" t="str">
        <f>IF(NOT(AND(J179="",L179="")),IF(OR(AND(L179&lt;&gt;"",NOT(ISNUMBER(L179))),IFERROR(MOD(L179,1),1)&gt;0,AND(ISNUMBER(L179),OR(L179&lt;0,L179&gt;95))),"Введите целое число от 0 до 95",IF(OR(AND(J179&lt;&gt;"",NOT(ISNUMBER(J179))),IFERROR(MOD(J179,1),1)&gt;0,AND(ISNUMBER(J179),OR(J179&lt;50,J179&gt;20000000))),"Введите целое число от 50 до 20000000",IF(NOT(ABS(IFERROR(VALUE(LEFT(M179,FIND("-",M179)-1)),M179)*100-(2500+2000000000)/2)&lt;=ABS(2500-2000000000)/2),"Цена со скидкой должна быть от 25 до 20000000",IF(IFERROR(VALUE(LEFT(M179,FIND("-",M179)-1)),M179)*229&lt;40700,"Вы уменьшили цену в несколько раз, товар попадет в карантин цен",IF(AND(IFERROR(VALUE(I179),0)=0,ISNUMBER(J179),OR(J179&lt;226,ABS(IFERROR(VALUE(LEFT(M179,FIND("-",M179)-1)),M179))*100&lt;22600)),"Проверьте цену товара. Большинство товаров в выбранной категории стоят дороже 226",""))))),"")</f>
      </c>
    </row>
    <row r="180">
      <c r="A180" s="2" t="inlineStr">
        <is>
          <t/>
        </is>
      </c>
      <c r="B180" s="2" t="inlineStr">
        <is>
          <t>Носовые платки</t>
        </is>
      </c>
      <c r="C180" s="2">
        <v>436476508</v>
      </c>
      <c r="D180" s="2" t="inlineStr">
        <is>
          <t>111021</t>
        </is>
      </c>
      <c r="E180" s="2" t="inlineStr">
        <is>
          <t>2044303576181</t>
        </is>
      </c>
      <c r="F180" s="2">
        <v>0</v>
      </c>
      <c r="G180" s="2">
        <v>0</v>
      </c>
      <c r="H180" s="2">
        <v>1</v>
      </c>
      <c r="I180" s="2" t="inlineStr">
        <is>
          <t>1400</t>
        </is>
      </c>
      <c r="J180" s="4"/>
      <c r="K180" s="2">
        <v>55</v>
      </c>
      <c r="L180" s="6"/>
      <c r="M180" s="2" t="str">
        <f>IF(J180="",ROUND(I180*(1-IF(ISBLANK(L180),K180,L180)/100),2),ROUND(J180*(1-IF(ISBLANK(L180),K180,L180)/100),2))</f>
      </c>
      <c r="N180" s="7" t="str">
        <f>IF(NOT(AND(J180="",L180="")),IF(OR(AND(L180&lt;&gt;"",NOT(ISNUMBER(L180))),IFERROR(MOD(L180,1),1)&gt;0,AND(ISNUMBER(L180),OR(L180&lt;0,L180&gt;95))),"Введите целое число от 0 до 95",IF(OR(AND(J180&lt;&gt;"",NOT(ISNUMBER(J180))),IFERROR(MOD(J180,1),1)&gt;0,AND(ISNUMBER(J180),OR(J180&lt;50,J180&gt;20000000))),"Введите целое число от 50 до 20000000",IF(NOT(ABS(IFERROR(VALUE(LEFT(M180,FIND("-",M180)-1)),M180)*100-(2500+2000000000)/2)&lt;=ABS(2500-2000000000)/2),"Цена со скидкой должна быть от 25 до 20000000",IF(IFERROR(VALUE(LEFT(M180,FIND("-",M180)-1)),M180)*229&lt;62999,"Вы уменьшили цену в несколько раз, товар попадет в карантин цен",IF(AND(IFERROR(VALUE(I180),0)=0,ISNUMBER(J180),OR(J180&lt;225,ABS(IFERROR(VALUE(LEFT(M180,FIND("-",M180)-1)),M180))*100&lt;22500)),"Проверьте цену товара. Большинство товаров в выбранной категории стоят дороже 225",""))))),"")</f>
      </c>
    </row>
    <row r="181">
      <c r="A181" s="2" t="inlineStr">
        <is>
          <t>VitalEmb</t>
        </is>
      </c>
      <c r="B181" s="2" t="inlineStr">
        <is>
          <t>Декор для одежды</t>
        </is>
      </c>
      <c r="C181" s="2">
        <v>607710999</v>
      </c>
      <c r="D181" s="2" t="inlineStr">
        <is>
          <t>grvspict0001_222154</t>
        </is>
      </c>
      <c r="E181" s="2" t="inlineStr">
        <is>
          <t>2047197351162</t>
        </is>
      </c>
      <c r="F181" s="2">
        <v>48</v>
      </c>
      <c r="G181" s="2">
        <v>0</v>
      </c>
      <c r="H181" s="2">
        <v>380</v>
      </c>
      <c r="I181" s="2" t="inlineStr">
        <is>
          <t>1100</t>
        </is>
      </c>
      <c r="J181" s="4"/>
      <c r="K181" s="2">
        <v>64</v>
      </c>
      <c r="L181" s="6"/>
      <c r="M181" s="2" t="str">
        <f>IF(J181="",ROUND(I181*(1-IF(ISBLANK(L181),K181,L181)/100),2),ROUND(J181*(1-IF(ISBLANK(L181),K181,L181)/100),2))</f>
      </c>
      <c r="N181" s="7" t="str">
        <f>IF(NOT(AND(J181="",L181="")),IF(OR(AND(L181&lt;&gt;"",NOT(ISNUMBER(L181))),IFERROR(MOD(L181,1),1)&gt;0,AND(ISNUMBER(L181),OR(L181&lt;0,L181&gt;95))),"Введите целое число от 0 до 95",IF(OR(AND(J181&lt;&gt;"",NOT(ISNUMBER(J181))),IFERROR(MOD(J181,1),1)&gt;0,AND(ISNUMBER(J181),OR(J181&lt;50,J181&gt;20000000))),"Введите целое число от 50 до 20000000",IF(NOT(ABS(IFERROR(VALUE(LEFT(M181,FIND("-",M181)-1)),M181)*100-(2500+2000000000)/2)&lt;=ABS(2500-2000000000)/2),"Цена со скидкой должна быть от 25 до 20000000",IF(IFERROR(VALUE(LEFT(M181,FIND("-",M181)-1)),M181)*229&lt;39600,"Вы уменьшили цену в несколько раз, товар попадет в карантин цен",IF(AND(IFERROR(VALUE(I181),0)=0,ISNUMBER(J181),OR(J181&lt;226,ABS(IFERROR(VALUE(LEFT(M181,FIND("-",M181)-1)),M181))*100&lt;22600)),"Проверьте цену товара. Большинство товаров в выбранной категории стоят дороже 226",""))))),"")</f>
      </c>
    </row>
    <row r="182">
      <c r="A182" s="2" t="inlineStr">
        <is>
          <t>VitalEmb</t>
        </is>
      </c>
      <c r="B182" s="2" t="inlineStr">
        <is>
          <t>Декор для одежды</t>
        </is>
      </c>
      <c r="C182" s="2">
        <v>598846072</v>
      </c>
      <c r="D182" s="2" t="inlineStr">
        <is>
          <t>vshnr0005_222394</t>
        </is>
      </c>
      <c r="E182" s="2" t="inlineStr">
        <is>
          <t>2047109087233</t>
        </is>
      </c>
      <c r="F182" s="2">
        <v>12</v>
      </c>
      <c r="G182" s="2">
        <v>0</v>
      </c>
      <c r="H182" s="2">
        <v>386</v>
      </c>
      <c r="I182" s="2" t="inlineStr">
        <is>
          <t>1100</t>
        </is>
      </c>
      <c r="J182" s="4"/>
      <c r="K182" s="2">
        <v>64</v>
      </c>
      <c r="L182" s="6"/>
      <c r="M182" s="2" t="str">
        <f>IF(J182="",ROUND(I182*(1-IF(ISBLANK(L182),K182,L182)/100),2),ROUND(J182*(1-IF(ISBLANK(L182),K182,L182)/100),2))</f>
      </c>
      <c r="N182" s="7" t="str">
        <f>IF(NOT(AND(J182="",L182="")),IF(OR(AND(L182&lt;&gt;"",NOT(ISNUMBER(L182))),IFERROR(MOD(L182,1),1)&gt;0,AND(ISNUMBER(L182),OR(L182&lt;0,L182&gt;95))),"Введите целое число от 0 до 95",IF(OR(AND(J182&lt;&gt;"",NOT(ISNUMBER(J182))),IFERROR(MOD(J182,1),1)&gt;0,AND(ISNUMBER(J182),OR(J182&lt;50,J182&gt;20000000))),"Введите целое число от 50 до 20000000",IF(NOT(ABS(IFERROR(VALUE(LEFT(M182,FIND("-",M182)-1)),M182)*100-(2500+2000000000)/2)&lt;=ABS(2500-2000000000)/2),"Цена со скидкой должна быть от 25 до 20000000",IF(IFERROR(VALUE(LEFT(M182,FIND("-",M182)-1)),M182)*229&lt;39600,"Вы уменьшили цену в несколько раз, товар попадет в карантин цен",IF(AND(IFERROR(VALUE(I182),0)=0,ISNUMBER(J182),OR(J182&lt;226,ABS(IFERROR(VALUE(LEFT(M182,FIND("-",M182)-1)),M182))*100&lt;22600)),"Проверьте цену товара. Большинство товаров в выбранной категории стоят дороже 226",""))))),"")</f>
      </c>
    </row>
    <row r="183">
      <c r="A183" s="2" t="inlineStr">
        <is>
          <t>VitalEmb</t>
        </is>
      </c>
      <c r="B183" s="2" t="inlineStr">
        <is>
          <t>Декор для одежды</t>
        </is>
      </c>
      <c r="C183" s="2">
        <v>613202415</v>
      </c>
      <c r="D183" s="2" t="inlineStr">
        <is>
          <t>pzngol0047_223077</t>
        </is>
      </c>
      <c r="E183" s="2" t="inlineStr">
        <is>
          <t>2047259155936</t>
        </is>
      </c>
      <c r="F183" s="2">
        <v>18</v>
      </c>
      <c r="G183" s="2">
        <v>0</v>
      </c>
      <c r="H183" s="2">
        <v>999</v>
      </c>
      <c r="I183" s="2" t="inlineStr">
        <is>
          <t>1100</t>
        </is>
      </c>
      <c r="J183" s="4"/>
      <c r="K183" s="2">
        <v>63</v>
      </c>
      <c r="L183" s="6"/>
      <c r="M183" s="2" t="str">
        <f>IF(J183="",ROUND(I183*(1-IF(ISBLANK(L183),K183,L183)/100),2),ROUND(J183*(1-IF(ISBLANK(L183),K183,L183)/100),2))</f>
      </c>
      <c r="N183" s="7" t="str">
        <f>IF(NOT(AND(J183="",L183="")),IF(OR(AND(L183&lt;&gt;"",NOT(ISNUMBER(L183))),IFERROR(MOD(L183,1),1)&gt;0,AND(ISNUMBER(L183),OR(L183&lt;0,L183&gt;95))),"Введите целое число от 0 до 95",IF(OR(AND(J183&lt;&gt;"",NOT(ISNUMBER(J183))),IFERROR(MOD(J183,1),1)&gt;0,AND(ISNUMBER(J183),OR(J183&lt;50,J183&gt;20000000))),"Введите целое число от 50 до 20000000",IF(NOT(ABS(IFERROR(VALUE(LEFT(M183,FIND("-",M183)-1)),M183)*100-(2500+2000000000)/2)&lt;=ABS(2500-2000000000)/2),"Цена со скидкой должна быть от 25 до 20000000",IF(IFERROR(VALUE(LEFT(M183,FIND("-",M183)-1)),M183)*229&lt;40700,"Вы уменьшили цену в несколько раз, товар попадет в карантин цен",IF(AND(IFERROR(VALUE(I183),0)=0,ISNUMBER(J183),OR(J183&lt;226,ABS(IFERROR(VALUE(LEFT(M183,FIND("-",M183)-1)),M183))*100&lt;22600)),"Проверьте цену товара. Большинство товаров в выбранной категории стоят дороже 226",""))))),"")</f>
      </c>
    </row>
    <row r="184">
      <c r="A184" s="2" t="inlineStr">
        <is>
          <t>VitalEmb</t>
        </is>
      </c>
      <c r="B184" s="2" t="inlineStr">
        <is>
          <t>Декор для одежды</t>
        </is>
      </c>
      <c r="C184" s="2">
        <v>613464982</v>
      </c>
      <c r="D184" s="2" t="inlineStr">
        <is>
          <t>pzngmh0028_222832</t>
        </is>
      </c>
      <c r="E184" s="2" t="inlineStr">
        <is>
          <t>2047262515857</t>
        </is>
      </c>
      <c r="F184" s="2">
        <v>10</v>
      </c>
      <c r="G184" s="2">
        <v>0</v>
      </c>
      <c r="H184" s="2">
        <v>999</v>
      </c>
      <c r="I184" s="2" t="inlineStr">
        <is>
          <t>1100</t>
        </is>
      </c>
      <c r="J184" s="4"/>
      <c r="K184" s="2">
        <v>63</v>
      </c>
      <c r="L184" s="6"/>
      <c r="M184" s="2" t="str">
        <f>IF(J184="",ROUND(I184*(1-IF(ISBLANK(L184),K184,L184)/100),2),ROUND(J184*(1-IF(ISBLANK(L184),K184,L184)/100),2))</f>
      </c>
      <c r="N184" s="7" t="str">
        <f>IF(NOT(AND(J184="",L184="")),IF(OR(AND(L184&lt;&gt;"",NOT(ISNUMBER(L184))),IFERROR(MOD(L184,1),1)&gt;0,AND(ISNUMBER(L184),OR(L184&lt;0,L184&gt;95))),"Введите целое число от 0 до 95",IF(OR(AND(J184&lt;&gt;"",NOT(ISNUMBER(J184))),IFERROR(MOD(J184,1),1)&gt;0,AND(ISNUMBER(J184),OR(J184&lt;50,J184&gt;20000000))),"Введите целое число от 50 до 20000000",IF(NOT(ABS(IFERROR(VALUE(LEFT(M184,FIND("-",M184)-1)),M184)*100-(2500+2000000000)/2)&lt;=ABS(2500-2000000000)/2),"Цена со скидкой должна быть от 25 до 20000000",IF(IFERROR(VALUE(LEFT(M184,FIND("-",M184)-1)),M184)*229&lt;40700,"Вы уменьшили цену в несколько раз, товар попадет в карантин цен",IF(AND(IFERROR(VALUE(I184),0)=0,ISNUMBER(J184),OR(J184&lt;226,ABS(IFERROR(VALUE(LEFT(M184,FIND("-",M184)-1)),M184))*100&lt;22600)),"Проверьте цену товара. Большинство товаров в выбранной категории стоят дороже 226",""))))),"")</f>
      </c>
    </row>
    <row r="185">
      <c r="A185" s="2" t="inlineStr">
        <is>
          <t>VitalEmb</t>
        </is>
      </c>
      <c r="B185" s="2" t="inlineStr">
        <is>
          <t>Декор для одежды</t>
        </is>
      </c>
      <c r="C185" s="2">
        <v>613246084</v>
      </c>
      <c r="D185" s="2" t="inlineStr">
        <is>
          <t>pzngol0051_222855</t>
        </is>
      </c>
      <c r="E185" s="2" t="inlineStr">
        <is>
          <t>2047259743348</t>
        </is>
      </c>
      <c r="F185" s="2" t="inlineStr">
        <is>
          <t/>
        </is>
      </c>
      <c r="G185" s="2" t="inlineStr">
        <is>
          <t/>
        </is>
      </c>
      <c r="H185" s="2" t="inlineStr">
        <is>
          <t/>
        </is>
      </c>
      <c r="I185" s="2" t="inlineStr">
        <is>
          <t>1100</t>
        </is>
      </c>
      <c r="J185" s="4"/>
      <c r="K185" s="2">
        <v>55</v>
      </c>
      <c r="L185" s="6"/>
      <c r="M185" s="2" t="str">
        <f>IF(J185="",ROUND(I185*(1-IF(ISBLANK(L185),K185,L185)/100),2),ROUND(J185*(1-IF(ISBLANK(L185),K185,L185)/100),2))</f>
      </c>
      <c r="N185" s="7" t="str">
        <f>IF(NOT(AND(J185="",L185="")),IF(OR(AND(L185&lt;&gt;"",NOT(ISNUMBER(L185))),IFERROR(MOD(L185,1),1)&gt;0,AND(ISNUMBER(L185),OR(L185&lt;0,L185&gt;95))),"Введите целое число от 0 до 95",IF(OR(AND(J185&lt;&gt;"",NOT(ISNUMBER(J185))),IFERROR(MOD(J185,1),1)&gt;0,AND(ISNUMBER(J185),OR(J185&lt;50,J185&gt;20000000))),"Введите целое число от 50 до 20000000",IF(NOT(ABS(IFERROR(VALUE(LEFT(M185,FIND("-",M185)-1)),M185)*100-(2500+2000000000)/2)&lt;=ABS(2500-2000000000)/2),"Цена со скидкой должна быть от 25 до 20000000",IF(IFERROR(VALUE(LEFT(M185,FIND("-",M185)-1)),M185)*229&lt;49499,"Вы уменьшили цену в несколько раз, товар попадет в карантин цен",IF(AND(IFERROR(VALUE(I185),0)=0,ISNUMBER(J185),OR(J185&lt;226,ABS(IFERROR(VALUE(LEFT(M185,FIND("-",M185)-1)),M185))*100&lt;22600)),"Проверьте цену товара. Большинство товаров в выбранной категории стоят дороже 226",""))))),"")</f>
      </c>
    </row>
    <row r="186">
      <c r="A186" s="2" t="inlineStr">
        <is>
          <t>VitalEmb</t>
        </is>
      </c>
      <c r="B186" s="2" t="inlineStr">
        <is>
          <t>Декор для одежды</t>
        </is>
      </c>
      <c r="C186" s="2">
        <v>591223235</v>
      </c>
      <c r="D186" s="2" t="inlineStr">
        <is>
          <t>prikpict0001_form0036_222203</t>
        </is>
      </c>
      <c r="E186" s="2" t="inlineStr">
        <is>
          <t>2047031229329</t>
        </is>
      </c>
      <c r="F186" s="2">
        <v>13</v>
      </c>
      <c r="G186" s="2">
        <v>0</v>
      </c>
      <c r="H186" s="2">
        <v>415</v>
      </c>
      <c r="I186" s="2" t="inlineStr">
        <is>
          <t>1100</t>
        </is>
      </c>
      <c r="J186" s="4"/>
      <c r="K186" s="2">
        <v>62</v>
      </c>
      <c r="L186" s="6"/>
      <c r="M186" s="2" t="str">
        <f>IF(J186="",ROUND(I186*(1-IF(ISBLANK(L186),K186,L186)/100),2),ROUND(J186*(1-IF(ISBLANK(L186),K186,L186)/100),2))</f>
      </c>
      <c r="N186" s="7" t="str">
        <f>IF(NOT(AND(J186="",L186="")),IF(OR(AND(L186&lt;&gt;"",NOT(ISNUMBER(L186))),IFERROR(MOD(L186,1),1)&gt;0,AND(ISNUMBER(L186),OR(L186&lt;0,L186&gt;95))),"Введите целое число от 0 до 95",IF(OR(AND(J186&lt;&gt;"",NOT(ISNUMBER(J186))),IFERROR(MOD(J186,1),1)&gt;0,AND(ISNUMBER(J186),OR(J186&lt;50,J186&gt;20000000))),"Введите целое число от 50 до 20000000",IF(NOT(ABS(IFERROR(VALUE(LEFT(M186,FIND("-",M186)-1)),M186)*100-(2500+2000000000)/2)&lt;=ABS(2500-2000000000)/2),"Цена со скидкой должна быть от 25 до 20000000",IF(IFERROR(VALUE(LEFT(M186,FIND("-",M186)-1)),M186)*229&lt;41800,"Вы уменьшили цену в несколько раз, товар попадет в карантин цен",IF(AND(IFERROR(VALUE(I186),0)=0,ISNUMBER(J186),OR(J186&lt;226,ABS(IFERROR(VALUE(LEFT(M186,FIND("-",M186)-1)),M186))*100&lt;22600)),"Проверьте цену товара. Большинство товаров в выбранной категории стоят дороже 226",""))))),"")</f>
      </c>
    </row>
    <row r="187">
      <c r="A187" s="2" t="inlineStr">
        <is>
          <t>VitalEmb</t>
        </is>
      </c>
      <c r="B187" s="2" t="inlineStr">
        <is>
          <t>Декор для одежды</t>
        </is>
      </c>
      <c r="C187" s="2">
        <v>613261187</v>
      </c>
      <c r="D187" s="2" t="inlineStr">
        <is>
          <t>pzngol0052_222919</t>
        </is>
      </c>
      <c r="E187" s="2" t="inlineStr">
        <is>
          <t>2047259975091</t>
        </is>
      </c>
      <c r="F187" s="2" t="inlineStr">
        <is>
          <t/>
        </is>
      </c>
      <c r="G187" s="2" t="inlineStr">
        <is>
          <t/>
        </is>
      </c>
      <c r="H187" s="2" t="inlineStr">
        <is>
          <t/>
        </is>
      </c>
      <c r="I187" s="2" t="inlineStr">
        <is>
          <t>1100</t>
        </is>
      </c>
      <c r="J187" s="4"/>
      <c r="K187" s="2">
        <v>55</v>
      </c>
      <c r="L187" s="6"/>
      <c r="M187" s="2" t="str">
        <f>IF(J187="",ROUND(I187*(1-IF(ISBLANK(L187),K187,L187)/100),2),ROUND(J187*(1-IF(ISBLANK(L187),K187,L187)/100),2))</f>
      </c>
      <c r="N187" s="7" t="str">
        <f>IF(NOT(AND(J187="",L187="")),IF(OR(AND(L187&lt;&gt;"",NOT(ISNUMBER(L187))),IFERROR(MOD(L187,1),1)&gt;0,AND(ISNUMBER(L187),OR(L187&lt;0,L187&gt;95))),"Введите целое число от 0 до 95",IF(OR(AND(J187&lt;&gt;"",NOT(ISNUMBER(J187))),IFERROR(MOD(J187,1),1)&gt;0,AND(ISNUMBER(J187),OR(J187&lt;50,J187&gt;20000000))),"Введите целое число от 50 до 20000000",IF(NOT(ABS(IFERROR(VALUE(LEFT(M187,FIND("-",M187)-1)),M187)*100-(2500+2000000000)/2)&lt;=ABS(2500-2000000000)/2),"Цена со скидкой должна быть от 25 до 20000000",IF(IFERROR(VALUE(LEFT(M187,FIND("-",M187)-1)),M187)*229&lt;49499,"Вы уменьшили цену в несколько раз, товар попадет в карантин цен",IF(AND(IFERROR(VALUE(I187),0)=0,ISNUMBER(J187),OR(J187&lt;226,ABS(IFERROR(VALUE(LEFT(M187,FIND("-",M187)-1)),M187))*100&lt;22600)),"Проверьте цену товара. Большинство товаров в выбранной категории стоят дороже 226",""))))),"")</f>
      </c>
    </row>
    <row r="188">
      <c r="A188" s="2" t="inlineStr">
        <is>
          <t>VitalEmb</t>
        </is>
      </c>
      <c r="B188" s="2" t="inlineStr">
        <is>
          <t>Декор для одежды</t>
        </is>
      </c>
      <c r="C188" s="2">
        <v>605210116</v>
      </c>
      <c r="D188" s="2" t="inlineStr">
        <is>
          <t>priktext0009_text0017</t>
        </is>
      </c>
      <c r="E188" s="2" t="inlineStr">
        <is>
          <t>2047172144291</t>
        </is>
      </c>
      <c r="F188" s="2">
        <v>26</v>
      </c>
      <c r="G188" s="2">
        <v>0</v>
      </c>
      <c r="H188" s="2">
        <v>999</v>
      </c>
      <c r="I188" s="2" t="inlineStr">
        <is>
          <t>1100</t>
        </is>
      </c>
      <c r="J188" s="4"/>
      <c r="K188" s="2">
        <v>63</v>
      </c>
      <c r="L188" s="6"/>
      <c r="M188" s="2" t="str">
        <f>IF(J188="",ROUND(I188*(1-IF(ISBLANK(L188),K188,L188)/100),2),ROUND(J188*(1-IF(ISBLANK(L188),K188,L188)/100),2))</f>
      </c>
      <c r="N188" s="7" t="str">
        <f>IF(NOT(AND(J188="",L188="")),IF(OR(AND(L188&lt;&gt;"",NOT(ISNUMBER(L188))),IFERROR(MOD(L188,1),1)&gt;0,AND(ISNUMBER(L188),OR(L188&lt;0,L188&gt;95))),"Введите целое число от 0 до 95",IF(OR(AND(J188&lt;&gt;"",NOT(ISNUMBER(J188))),IFERROR(MOD(J188,1),1)&gt;0,AND(ISNUMBER(J188),OR(J188&lt;50,J188&gt;20000000))),"Введите целое число от 50 до 20000000",IF(NOT(ABS(IFERROR(VALUE(LEFT(M188,FIND("-",M188)-1)),M188)*100-(2500+2000000000)/2)&lt;=ABS(2500-2000000000)/2),"Цена со скидкой должна быть от 25 до 20000000",IF(IFERROR(VALUE(LEFT(M188,FIND("-",M188)-1)),M188)*229&lt;40700,"Вы уменьшили цену в несколько раз, товар попадет в карантин цен",IF(AND(IFERROR(VALUE(I188),0)=0,ISNUMBER(J188),OR(J188&lt;226,ABS(IFERROR(VALUE(LEFT(M188,FIND("-",M188)-1)),M188))*100&lt;22600)),"Проверьте цену товара. Большинство товаров в выбранной категории стоят дороже 226",""))))),"")</f>
      </c>
    </row>
    <row r="189">
      <c r="A189" s="2" t="inlineStr">
        <is>
          <t>VitalEmb</t>
        </is>
      </c>
      <c r="B189" s="2" t="inlineStr">
        <is>
          <t>Декор для одежды</t>
        </is>
      </c>
      <c r="C189" s="2">
        <v>600312478</v>
      </c>
      <c r="D189" s="2" t="inlineStr">
        <is>
          <t>vsrfform0001_222318</t>
        </is>
      </c>
      <c r="E189" s="2" t="inlineStr">
        <is>
          <t>2047124081575</t>
        </is>
      </c>
      <c r="F189" s="2">
        <v>18</v>
      </c>
      <c r="G189" s="2">
        <v>0</v>
      </c>
      <c r="H189" s="2">
        <v>999</v>
      </c>
      <c r="I189" s="2" t="inlineStr">
        <is>
          <t>1100</t>
        </is>
      </c>
      <c r="J189" s="4"/>
      <c r="K189" s="2">
        <v>63</v>
      </c>
      <c r="L189" s="6"/>
      <c r="M189" s="2" t="str">
        <f>IF(J189="",ROUND(I189*(1-IF(ISBLANK(L189),K189,L189)/100),2),ROUND(J189*(1-IF(ISBLANK(L189),K189,L189)/100),2))</f>
      </c>
      <c r="N189" s="7" t="str">
        <f>IF(NOT(AND(J189="",L189="")),IF(OR(AND(L189&lt;&gt;"",NOT(ISNUMBER(L189))),IFERROR(MOD(L189,1),1)&gt;0,AND(ISNUMBER(L189),OR(L189&lt;0,L189&gt;95))),"Введите целое число от 0 до 95",IF(OR(AND(J189&lt;&gt;"",NOT(ISNUMBER(J189))),IFERROR(MOD(J189,1),1)&gt;0,AND(ISNUMBER(J189),OR(J189&lt;50,J189&gt;20000000))),"Введите целое число от 50 до 20000000",IF(NOT(ABS(IFERROR(VALUE(LEFT(M189,FIND("-",M189)-1)),M189)*100-(2500+2000000000)/2)&lt;=ABS(2500-2000000000)/2),"Цена со скидкой должна быть от 25 до 20000000",IF(IFERROR(VALUE(LEFT(M189,FIND("-",M189)-1)),M189)*229&lt;40700,"Вы уменьшили цену в несколько раз, товар попадет в карантин цен",IF(AND(IFERROR(VALUE(I189),0)=0,ISNUMBER(J189),OR(J189&lt;226,ABS(IFERROR(VALUE(LEFT(M189,FIND("-",M189)-1)),M189))*100&lt;22600)),"Проверьте цену товара. Большинство товаров в выбранной категории стоят дороже 226",""))))),"")</f>
      </c>
    </row>
    <row r="190">
      <c r="A190" s="2" t="inlineStr">
        <is>
          <t>VitalEmb</t>
        </is>
      </c>
      <c r="B190" s="2" t="inlineStr">
        <is>
          <t>Декор для одежды</t>
        </is>
      </c>
      <c r="C190" s="2">
        <v>588957281</v>
      </c>
      <c r="D190" s="2" t="inlineStr">
        <is>
          <t>pzngol0018_pzol0004_222046</t>
        </is>
      </c>
      <c r="E190" s="2" t="inlineStr">
        <is>
          <t>2047011488821</t>
        </is>
      </c>
      <c r="F190" s="2">
        <v>17</v>
      </c>
      <c r="G190" s="2">
        <v>0</v>
      </c>
      <c r="H190" s="2">
        <v>516</v>
      </c>
      <c r="I190" s="2" t="inlineStr">
        <is>
          <t>1100</t>
        </is>
      </c>
      <c r="J190" s="4"/>
      <c r="K190" s="2">
        <v>63</v>
      </c>
      <c r="L190" s="6"/>
      <c r="M190" s="2" t="str">
        <f>IF(J190="",ROUND(I190*(1-IF(ISBLANK(L190),K190,L190)/100),2),ROUND(J190*(1-IF(ISBLANK(L190),K190,L190)/100),2))</f>
      </c>
      <c r="N190" s="7" t="str">
        <f>IF(NOT(AND(J190="",L190="")),IF(OR(AND(L190&lt;&gt;"",NOT(ISNUMBER(L190))),IFERROR(MOD(L190,1),1)&gt;0,AND(ISNUMBER(L190),OR(L190&lt;0,L190&gt;95))),"Введите целое число от 0 до 95",IF(OR(AND(J190&lt;&gt;"",NOT(ISNUMBER(J190))),IFERROR(MOD(J190,1),1)&gt;0,AND(ISNUMBER(J190),OR(J190&lt;50,J190&gt;20000000))),"Введите целое число от 50 до 20000000",IF(NOT(ABS(IFERROR(VALUE(LEFT(M190,FIND("-",M190)-1)),M190)*100-(2500+2000000000)/2)&lt;=ABS(2500-2000000000)/2),"Цена со скидкой должна быть от 25 до 20000000",IF(IFERROR(VALUE(LEFT(M190,FIND("-",M190)-1)),M190)*229&lt;40700,"Вы уменьшили цену в несколько раз, товар попадет в карантин цен",IF(AND(IFERROR(VALUE(I190),0)=0,ISNUMBER(J190),OR(J190&lt;226,ABS(IFERROR(VALUE(LEFT(M190,FIND("-",M190)-1)),M190))*100&lt;22600)),"Проверьте цену товара. Большинство товаров в выбранной категории стоят дороже 226",""))))),"")</f>
      </c>
    </row>
    <row r="191">
      <c r="A191" s="2" t="inlineStr">
        <is>
          <t>VitalEmb</t>
        </is>
      </c>
      <c r="B191" s="2" t="inlineStr">
        <is>
          <t>Декор для одежды</t>
        </is>
      </c>
      <c r="C191" s="2">
        <v>613164492</v>
      </c>
      <c r="D191" s="2" t="inlineStr">
        <is>
          <t>pzngol0042_222516</t>
        </is>
      </c>
      <c r="E191" s="2" t="inlineStr">
        <is>
          <t>2047258695792</t>
        </is>
      </c>
      <c r="F191" s="2">
        <v>4</v>
      </c>
      <c r="G191" s="2">
        <v>0</v>
      </c>
      <c r="H191" s="2">
        <v>34</v>
      </c>
      <c r="I191" s="2" t="inlineStr">
        <is>
          <t>1100</t>
        </is>
      </c>
      <c r="J191" s="4"/>
      <c r="K191" s="2">
        <v>64</v>
      </c>
      <c r="L191" s="6"/>
      <c r="M191" s="2" t="str">
        <f>IF(J191="",ROUND(I191*(1-IF(ISBLANK(L191),K191,L191)/100),2),ROUND(J191*(1-IF(ISBLANK(L191),K191,L191)/100),2))</f>
      </c>
      <c r="N191" s="7" t="str">
        <f>IF(NOT(AND(J191="",L191="")),IF(OR(AND(L191&lt;&gt;"",NOT(ISNUMBER(L191))),IFERROR(MOD(L191,1),1)&gt;0,AND(ISNUMBER(L191),OR(L191&lt;0,L191&gt;95))),"Введите целое число от 0 до 95",IF(OR(AND(J191&lt;&gt;"",NOT(ISNUMBER(J191))),IFERROR(MOD(J191,1),1)&gt;0,AND(ISNUMBER(J191),OR(J191&lt;50,J191&gt;20000000))),"Введите целое число от 50 до 20000000",IF(NOT(ABS(IFERROR(VALUE(LEFT(M191,FIND("-",M191)-1)),M191)*100-(2500+2000000000)/2)&lt;=ABS(2500-2000000000)/2),"Цена со скидкой должна быть от 25 до 20000000",IF(IFERROR(VALUE(LEFT(M191,FIND("-",M191)-1)),M191)*229&lt;39600,"Вы уменьшили цену в несколько раз, товар попадет в карантин цен",IF(AND(IFERROR(VALUE(I191),0)=0,ISNUMBER(J191),OR(J191&lt;226,ABS(IFERROR(VALUE(LEFT(M191,FIND("-",M191)-1)),M191))*100&lt;22600)),"Проверьте цену товара. Большинство товаров в выбранной категории стоят дороже 226",""))))),"")</f>
      </c>
    </row>
    <row r="192">
      <c r="A192" s="2" t="inlineStr">
        <is>
          <t>VitalEmb</t>
        </is>
      </c>
      <c r="B192" s="2" t="inlineStr">
        <is>
          <t>Декор для одежды</t>
        </is>
      </c>
      <c r="C192" s="2">
        <v>612088653</v>
      </c>
      <c r="D192" s="2" t="inlineStr">
        <is>
          <t>pzngol0023_pzol0017_222449</t>
        </is>
      </c>
      <c r="E192" s="2" t="inlineStr">
        <is>
          <t>2047240768909</t>
        </is>
      </c>
      <c r="F192" s="2">
        <v>12</v>
      </c>
      <c r="G192" s="2">
        <v>0</v>
      </c>
      <c r="H192" s="2">
        <v>367</v>
      </c>
      <c r="I192" s="2" t="inlineStr">
        <is>
          <t>1100</t>
        </is>
      </c>
      <c r="J192" s="4"/>
      <c r="K192" s="2">
        <v>63</v>
      </c>
      <c r="L192" s="6"/>
      <c r="M192" s="2" t="str">
        <f>IF(J192="",ROUND(I192*(1-IF(ISBLANK(L192),K192,L192)/100),2),ROUND(J192*(1-IF(ISBLANK(L192),K192,L192)/100),2))</f>
      </c>
      <c r="N192" s="7" t="str">
        <f>IF(NOT(AND(J192="",L192="")),IF(OR(AND(L192&lt;&gt;"",NOT(ISNUMBER(L192))),IFERROR(MOD(L192,1),1)&gt;0,AND(ISNUMBER(L192),OR(L192&lt;0,L192&gt;95))),"Введите целое число от 0 до 95",IF(OR(AND(J192&lt;&gt;"",NOT(ISNUMBER(J192))),IFERROR(MOD(J192,1),1)&gt;0,AND(ISNUMBER(J192),OR(J192&lt;50,J192&gt;20000000))),"Введите целое число от 50 до 20000000",IF(NOT(ABS(IFERROR(VALUE(LEFT(M192,FIND("-",M192)-1)),M192)*100-(2500+2000000000)/2)&lt;=ABS(2500-2000000000)/2),"Цена со скидкой должна быть от 25 до 20000000",IF(IFERROR(VALUE(LEFT(M192,FIND("-",M192)-1)),M192)*229&lt;40700,"Вы уменьшили цену в несколько раз, товар попадет в карантин цен",IF(AND(IFERROR(VALUE(I192),0)=0,ISNUMBER(J192),OR(J192&lt;226,ABS(IFERROR(VALUE(LEFT(M192,FIND("-",M192)-1)),M192))*100&lt;22600)),"Проверьте цену товара. Большинство товаров в выбранной категории стоят дороже 226",""))))),"")</f>
      </c>
    </row>
    <row r="193">
      <c r="A193" s="2" t="inlineStr">
        <is>
          <t>VitalEmb</t>
        </is>
      </c>
      <c r="B193" s="2" t="inlineStr">
        <is>
          <t>Декор для одежды</t>
        </is>
      </c>
      <c r="C193" s="2">
        <v>656258828</v>
      </c>
      <c r="D193" s="2" t="inlineStr">
        <is>
          <t>nevnng0001_222609</t>
        </is>
      </c>
      <c r="E193" s="2" t="inlineStr">
        <is>
          <t>2047521357969</t>
        </is>
      </c>
      <c r="F193" s="2">
        <v>11</v>
      </c>
      <c r="G193" s="2">
        <v>0</v>
      </c>
      <c r="H193" s="2">
        <v>999</v>
      </c>
      <c r="I193" s="2" t="inlineStr">
        <is>
          <t>1100</t>
        </is>
      </c>
      <c r="J193" s="4"/>
      <c r="K193" s="2">
        <v>53</v>
      </c>
      <c r="L193" s="6"/>
      <c r="M193" s="2" t="str">
        <f>IF(J193="",ROUND(I193*(1-IF(ISBLANK(L193),K193,L193)/100),2),ROUND(J193*(1-IF(ISBLANK(L193),K193,L193)/100),2))</f>
      </c>
      <c r="N193" s="7" t="str">
        <f>IF(NOT(AND(J193="",L193="")),IF(OR(AND(L193&lt;&gt;"",NOT(ISNUMBER(L193))),IFERROR(MOD(L193,1),1)&gt;0,AND(ISNUMBER(L193),OR(L193&lt;0,L193&gt;95))),"Введите целое число от 0 до 95",IF(OR(AND(J193&lt;&gt;"",NOT(ISNUMBER(J193))),IFERROR(MOD(J193,1),1)&gt;0,AND(ISNUMBER(J193),OR(J193&lt;50,J193&gt;20000000))),"Введите целое число от 50 до 20000000",IF(NOT(ABS(IFERROR(VALUE(LEFT(M193,FIND("-",M193)-1)),M193)*100-(2500+2000000000)/2)&lt;=ABS(2500-2000000000)/2),"Цена со скидкой должна быть от 25 до 20000000",IF(IFERROR(VALUE(LEFT(M193,FIND("-",M193)-1)),M193)*229&lt;51700,"Вы уменьшили цену в несколько раз, товар попадет в карантин цен",IF(AND(IFERROR(VALUE(I193),0)=0,ISNUMBER(J193),OR(J193&lt;226,ABS(IFERROR(VALUE(LEFT(M193,FIND("-",M193)-1)),M193))*100&lt;22600)),"Проверьте цену товара. Большинство товаров в выбранной категории стоят дороже 226",""))))),"")</f>
      </c>
    </row>
    <row r="194">
      <c r="A194" s="2" t="inlineStr">
        <is>
          <t>VitalEmb</t>
        </is>
      </c>
      <c r="B194" s="2" t="inlineStr">
        <is>
          <t>Декор для одежды</t>
        </is>
      </c>
      <c r="C194" s="2">
        <v>613189546</v>
      </c>
      <c r="D194" s="2" t="inlineStr">
        <is>
          <t>pzngol0046_222062</t>
        </is>
      </c>
      <c r="E194" s="2" t="inlineStr">
        <is>
          <t>2047258990057</t>
        </is>
      </c>
      <c r="F194" s="2">
        <v>19</v>
      </c>
      <c r="G194" s="2">
        <v>0</v>
      </c>
      <c r="H194" s="2">
        <v>999</v>
      </c>
      <c r="I194" s="2" t="inlineStr">
        <is>
          <t>1100</t>
        </is>
      </c>
      <c r="J194" s="4"/>
      <c r="K194" s="2">
        <v>63</v>
      </c>
      <c r="L194" s="6"/>
      <c r="M194" s="2" t="str">
        <f>IF(J194="",ROUND(I194*(1-IF(ISBLANK(L194),K194,L194)/100),2),ROUND(J194*(1-IF(ISBLANK(L194),K194,L194)/100),2))</f>
      </c>
      <c r="N194" s="7" t="str">
        <f>IF(NOT(AND(J194="",L194="")),IF(OR(AND(L194&lt;&gt;"",NOT(ISNUMBER(L194))),IFERROR(MOD(L194,1),1)&gt;0,AND(ISNUMBER(L194),OR(L194&lt;0,L194&gt;95))),"Введите целое число от 0 до 95",IF(OR(AND(J194&lt;&gt;"",NOT(ISNUMBER(J194))),IFERROR(MOD(J194,1),1)&gt;0,AND(ISNUMBER(J194),OR(J194&lt;50,J194&gt;20000000))),"Введите целое число от 50 до 20000000",IF(NOT(ABS(IFERROR(VALUE(LEFT(M194,FIND("-",M194)-1)),M194)*100-(2500+2000000000)/2)&lt;=ABS(2500-2000000000)/2),"Цена со скидкой должна быть от 25 до 20000000",IF(IFERROR(VALUE(LEFT(M194,FIND("-",M194)-1)),M194)*229&lt;40700,"Вы уменьшили цену в несколько раз, товар попадет в карантин цен",IF(AND(IFERROR(VALUE(I194),0)=0,ISNUMBER(J194),OR(J194&lt;226,ABS(IFERROR(VALUE(LEFT(M194,FIND("-",M194)-1)),M194))*100&lt;22600)),"Проверьте цену товара. Большинство товаров в выбранной категории стоят дороже 226",""))))),"")</f>
      </c>
    </row>
    <row r="195">
      <c r="A195" s="2" t="inlineStr">
        <is>
          <t>VitalEmb</t>
        </is>
      </c>
      <c r="B195" s="2" t="inlineStr">
        <is>
          <t>Декор для одежды</t>
        </is>
      </c>
      <c r="C195" s="2">
        <v>600497754</v>
      </c>
      <c r="D195" s="2" t="inlineStr">
        <is>
          <t>vsrfform0010_222768</t>
        </is>
      </c>
      <c r="E195" s="2" t="inlineStr">
        <is>
          <t>2047126861908</t>
        </is>
      </c>
      <c r="F195" s="2">
        <v>11</v>
      </c>
      <c r="G195" s="2">
        <v>0</v>
      </c>
      <c r="H195" s="2">
        <v>999</v>
      </c>
      <c r="I195" s="2" t="inlineStr">
        <is>
          <t>1100</t>
        </is>
      </c>
      <c r="J195" s="4"/>
      <c r="K195" s="2">
        <v>63</v>
      </c>
      <c r="L195" s="6"/>
      <c r="M195" s="2" t="str">
        <f>IF(J195="",ROUND(I195*(1-IF(ISBLANK(L195),K195,L195)/100),2),ROUND(J195*(1-IF(ISBLANK(L195),K195,L195)/100),2))</f>
      </c>
      <c r="N195" s="7" t="str">
        <f>IF(NOT(AND(J195="",L195="")),IF(OR(AND(L195&lt;&gt;"",NOT(ISNUMBER(L195))),IFERROR(MOD(L195,1),1)&gt;0,AND(ISNUMBER(L195),OR(L195&lt;0,L195&gt;95))),"Введите целое число от 0 до 95",IF(OR(AND(J195&lt;&gt;"",NOT(ISNUMBER(J195))),IFERROR(MOD(J195,1),1)&gt;0,AND(ISNUMBER(J195),OR(J195&lt;50,J195&gt;20000000))),"Введите целое число от 50 до 20000000",IF(NOT(ABS(IFERROR(VALUE(LEFT(M195,FIND("-",M195)-1)),M195)*100-(2500+2000000000)/2)&lt;=ABS(2500-2000000000)/2),"Цена со скидкой должна быть от 25 до 20000000",IF(IFERROR(VALUE(LEFT(M195,FIND("-",M195)-1)),M195)*229&lt;40700,"Вы уменьшили цену в несколько раз, товар попадет в карантин цен",IF(AND(IFERROR(VALUE(I195),0)=0,ISNUMBER(J195),OR(J195&lt;226,ABS(IFERROR(VALUE(LEFT(M195,FIND("-",M195)-1)),M195))*100&lt;22600)),"Проверьте цену товара. Большинство товаров в выбранной категории стоят дороже 226",""))))),"")</f>
      </c>
    </row>
    <row r="196">
      <c r="A196" s="2" t="inlineStr">
        <is>
          <t>VitalEmb</t>
        </is>
      </c>
      <c r="B196" s="2" t="inlineStr">
        <is>
          <t>Декор для одежды</t>
        </is>
      </c>
      <c r="C196" s="2">
        <v>613216329</v>
      </c>
      <c r="D196" s="2" t="inlineStr">
        <is>
          <t>pzngol0048_222059</t>
        </is>
      </c>
      <c r="E196" s="2" t="inlineStr">
        <is>
          <t>2047259340745</t>
        </is>
      </c>
      <c r="F196" s="2">
        <v>19</v>
      </c>
      <c r="G196" s="2">
        <v>0</v>
      </c>
      <c r="H196" s="2">
        <v>587</v>
      </c>
      <c r="I196" s="2" t="inlineStr">
        <is>
          <t>1100</t>
        </is>
      </c>
      <c r="J196" s="4"/>
      <c r="K196" s="2">
        <v>63</v>
      </c>
      <c r="L196" s="6"/>
      <c r="M196" s="2" t="str">
        <f>IF(J196="",ROUND(I196*(1-IF(ISBLANK(L196),K196,L196)/100),2),ROUND(J196*(1-IF(ISBLANK(L196),K196,L196)/100),2))</f>
      </c>
      <c r="N196" s="7" t="str">
        <f>IF(NOT(AND(J196="",L196="")),IF(OR(AND(L196&lt;&gt;"",NOT(ISNUMBER(L196))),IFERROR(MOD(L196,1),1)&gt;0,AND(ISNUMBER(L196),OR(L196&lt;0,L196&gt;95))),"Введите целое число от 0 до 95",IF(OR(AND(J196&lt;&gt;"",NOT(ISNUMBER(J196))),IFERROR(MOD(J196,1),1)&gt;0,AND(ISNUMBER(J196),OR(J196&lt;50,J196&gt;20000000))),"Введите целое число от 50 до 20000000",IF(NOT(ABS(IFERROR(VALUE(LEFT(M196,FIND("-",M196)-1)),M196)*100-(2500+2000000000)/2)&lt;=ABS(2500-2000000000)/2),"Цена со скидкой должна быть от 25 до 20000000",IF(IFERROR(VALUE(LEFT(M196,FIND("-",M196)-1)),M196)*229&lt;40700,"Вы уменьшили цену в несколько раз, товар попадет в карантин цен",IF(AND(IFERROR(VALUE(I196),0)=0,ISNUMBER(J196),OR(J196&lt;226,ABS(IFERROR(VALUE(LEFT(M196,FIND("-",M196)-1)),M196))*100&lt;22600)),"Проверьте цену товара. Большинство товаров в выбранной категории стоят дороже 226",""))))),"")</f>
      </c>
    </row>
    <row r="197">
      <c r="A197" s="2" t="inlineStr">
        <is>
          <t>VitalEmb</t>
        </is>
      </c>
      <c r="B197" s="2" t="inlineStr">
        <is>
          <t>Декор для одежды</t>
        </is>
      </c>
      <c r="C197" s="2">
        <v>589060940</v>
      </c>
      <c r="D197" s="2" t="inlineStr">
        <is>
          <t>nevnng0006_form0016_222620</t>
        </is>
      </c>
      <c r="E197" s="2" t="inlineStr">
        <is>
          <t>2047012946832</t>
        </is>
      </c>
      <c r="F197" s="2">
        <v>20</v>
      </c>
      <c r="G197" s="2">
        <v>0</v>
      </c>
      <c r="H197" s="2">
        <v>615</v>
      </c>
      <c r="I197" s="2" t="inlineStr">
        <is>
          <t>1100</t>
        </is>
      </c>
      <c r="J197" s="4"/>
      <c r="K197" s="2">
        <v>62</v>
      </c>
      <c r="L197" s="6"/>
      <c r="M197" s="2" t="str">
        <f>IF(J197="",ROUND(I197*(1-IF(ISBLANK(L197),K197,L197)/100),2),ROUND(J197*(1-IF(ISBLANK(L197),K197,L197)/100),2))</f>
      </c>
      <c r="N197" s="7" t="str">
        <f>IF(NOT(AND(J197="",L197="")),IF(OR(AND(L197&lt;&gt;"",NOT(ISNUMBER(L197))),IFERROR(MOD(L197,1),1)&gt;0,AND(ISNUMBER(L197),OR(L197&lt;0,L197&gt;95))),"Введите целое число от 0 до 95",IF(OR(AND(J197&lt;&gt;"",NOT(ISNUMBER(J197))),IFERROR(MOD(J197,1),1)&gt;0,AND(ISNUMBER(J197),OR(J197&lt;50,J197&gt;20000000))),"Введите целое число от 50 до 20000000",IF(NOT(ABS(IFERROR(VALUE(LEFT(M197,FIND("-",M197)-1)),M197)*100-(2500+2000000000)/2)&lt;=ABS(2500-2000000000)/2),"Цена со скидкой должна быть от 25 до 20000000",IF(IFERROR(VALUE(LEFT(M197,FIND("-",M197)-1)),M197)*229&lt;41800,"Вы уменьшили цену в несколько раз, товар попадет в карантин цен",IF(AND(IFERROR(VALUE(I197),0)=0,ISNUMBER(J197),OR(J197&lt;226,ABS(IFERROR(VALUE(LEFT(M197,FIND("-",M197)-1)),M197))*100&lt;22600)),"Проверьте цену товара. Большинство товаров в выбранной категории стоят дороже 226",""))))),"")</f>
      </c>
    </row>
    <row r="198">
      <c r="A198" s="2" t="inlineStr">
        <is>
          <t>VitalEmb</t>
        </is>
      </c>
      <c r="B198" s="2" t="inlineStr">
        <is>
          <t>Декор для одежды</t>
        </is>
      </c>
      <c r="C198" s="2">
        <v>613181649</v>
      </c>
      <c r="D198" s="2" t="inlineStr">
        <is>
          <t>pzngol0045_222728</t>
        </is>
      </c>
      <c r="E198" s="2" t="inlineStr">
        <is>
          <t>2047258897271</t>
        </is>
      </c>
      <c r="F198" s="2">
        <v>7</v>
      </c>
      <c r="G198" s="2">
        <v>0</v>
      </c>
      <c r="H198" s="2">
        <v>121</v>
      </c>
      <c r="I198" s="2" t="inlineStr">
        <is>
          <t>1100</t>
        </is>
      </c>
      <c r="J198" s="4"/>
      <c r="K198" s="2">
        <v>63</v>
      </c>
      <c r="L198" s="6"/>
      <c r="M198" s="2" t="str">
        <f>IF(J198="",ROUND(I198*(1-IF(ISBLANK(L198),K198,L198)/100),2),ROUND(J198*(1-IF(ISBLANK(L198),K198,L198)/100),2))</f>
      </c>
      <c r="N198" s="7" t="str">
        <f>IF(NOT(AND(J198="",L198="")),IF(OR(AND(L198&lt;&gt;"",NOT(ISNUMBER(L198))),IFERROR(MOD(L198,1),1)&gt;0,AND(ISNUMBER(L198),OR(L198&lt;0,L198&gt;95))),"Введите целое число от 0 до 95",IF(OR(AND(J198&lt;&gt;"",NOT(ISNUMBER(J198))),IFERROR(MOD(J198,1),1)&gt;0,AND(ISNUMBER(J198),OR(J198&lt;50,J198&gt;20000000))),"Введите целое число от 50 до 20000000",IF(NOT(ABS(IFERROR(VALUE(LEFT(M198,FIND("-",M198)-1)),M198)*100-(2500+2000000000)/2)&lt;=ABS(2500-2000000000)/2),"Цена со скидкой должна быть от 25 до 20000000",IF(IFERROR(VALUE(LEFT(M198,FIND("-",M198)-1)),M198)*229&lt;40700,"Вы уменьшили цену в несколько раз, товар попадет в карантин цен",IF(AND(IFERROR(VALUE(I198),0)=0,ISNUMBER(J198),OR(J198&lt;226,ABS(IFERROR(VALUE(LEFT(M198,FIND("-",M198)-1)),M198))*100&lt;22600)),"Проверьте цену товара. Большинство товаров в выбранной категории стоят дороже 226",""))))),"")</f>
      </c>
    </row>
    <row r="199">
      <c r="A199" s="2" t="inlineStr">
        <is>
          <t>VitalEmb</t>
        </is>
      </c>
      <c r="B199" s="2" t="inlineStr">
        <is>
          <t>Декор для одежды</t>
        </is>
      </c>
      <c r="C199" s="2">
        <v>682520375</v>
      </c>
      <c r="D199" s="2" t="inlineStr">
        <is>
          <t>mvdback0005</t>
        </is>
      </c>
      <c r="E199" s="2" t="inlineStr">
        <is>
          <t>2047699933255</t>
        </is>
      </c>
      <c r="F199" s="2">
        <v>8</v>
      </c>
      <c r="G199" s="2">
        <v>0</v>
      </c>
      <c r="H199" s="2" t="inlineStr">
        <is>
          <t/>
        </is>
      </c>
      <c r="I199" s="2" t="inlineStr">
        <is>
          <t>1500</t>
        </is>
      </c>
      <c r="J199" s="4"/>
      <c r="K199" s="2">
        <v>55</v>
      </c>
      <c r="L199" s="6"/>
      <c r="M199" s="2" t="str">
        <f>IF(J199="",ROUND(I199*(1-IF(ISBLANK(L199),K199,L199)/100),2),ROUND(J199*(1-IF(ISBLANK(L199),K199,L199)/100),2))</f>
      </c>
      <c r="N199" s="7" t="str">
        <f>IF(NOT(AND(J199="",L199="")),IF(OR(AND(L199&lt;&gt;"",NOT(ISNUMBER(L199))),IFERROR(MOD(L199,1),1)&gt;0,AND(ISNUMBER(L199),OR(L199&lt;0,L199&gt;95))),"Введите целое число от 0 до 95",IF(OR(AND(J199&lt;&gt;"",NOT(ISNUMBER(J199))),IFERROR(MOD(J199,1),1)&gt;0,AND(ISNUMBER(J199),OR(J199&lt;50,J199&gt;20000000))),"Введите целое число от 50 до 20000000",IF(NOT(ABS(IFERROR(VALUE(LEFT(M199,FIND("-",M199)-1)),M199)*100-(2500+2000000000)/2)&lt;=ABS(2500-2000000000)/2),"Цена со скидкой должна быть от 25 до 20000000",IF(IFERROR(VALUE(LEFT(M199,FIND("-",M199)-1)),M199)*229&lt;67499,"Вы уменьшили цену в несколько раз, товар попадет в карантин цен",IF(AND(IFERROR(VALUE(I199),0)=0,ISNUMBER(J199),OR(J199&lt;226,ABS(IFERROR(VALUE(LEFT(M199,FIND("-",M199)-1)),M199))*100&lt;22600)),"Проверьте цену товара. Большинство товаров в выбранной категории стоят дороже 226",""))))),"")</f>
      </c>
    </row>
    <row r="200">
      <c r="A200" s="2" t="inlineStr">
        <is>
          <t>VitalEmb</t>
        </is>
      </c>
      <c r="B200" s="2" t="inlineStr">
        <is>
          <t>Декор для одежды</t>
        </is>
      </c>
      <c r="C200" s="2">
        <v>593393778</v>
      </c>
      <c r="D200" s="2" t="inlineStr">
        <is>
          <t>fsbng0003_form0001_222646</t>
        </is>
      </c>
      <c r="E200" s="2" t="inlineStr">
        <is>
          <t>2047050348292</t>
        </is>
      </c>
      <c r="F200" s="2">
        <v>18</v>
      </c>
      <c r="G200" s="2">
        <v>0</v>
      </c>
      <c r="H200" s="2">
        <v>12</v>
      </c>
      <c r="I200" s="2" t="inlineStr">
        <is>
          <t>1100</t>
        </is>
      </c>
      <c r="J200" s="4"/>
      <c r="K200" s="2">
        <v>63</v>
      </c>
      <c r="L200" s="6"/>
      <c r="M200" s="2" t="str">
        <f>IF(J200="",ROUND(I200*(1-IF(ISBLANK(L200),K200,L200)/100),2),ROUND(J200*(1-IF(ISBLANK(L200),K200,L200)/100),2))</f>
      </c>
      <c r="N200" s="7" t="str">
        <f>IF(NOT(AND(J200="",L200="")),IF(OR(AND(L200&lt;&gt;"",NOT(ISNUMBER(L200))),IFERROR(MOD(L200,1),1)&gt;0,AND(ISNUMBER(L200),OR(L200&lt;0,L200&gt;95))),"Введите целое число от 0 до 95",IF(OR(AND(J200&lt;&gt;"",NOT(ISNUMBER(J200))),IFERROR(MOD(J200,1),1)&gt;0,AND(ISNUMBER(J200),OR(J200&lt;50,J200&gt;20000000))),"Введите целое число от 50 до 20000000",IF(NOT(ABS(IFERROR(VALUE(LEFT(M200,FIND("-",M200)-1)),M200)*100-(2500+2000000000)/2)&lt;=ABS(2500-2000000000)/2),"Цена со скидкой должна быть от 25 до 20000000",IF(IFERROR(VALUE(LEFT(M200,FIND("-",M200)-1)),M200)*229&lt;40700,"Вы уменьшили цену в несколько раз, товар попадет в карантин цен",IF(AND(IFERROR(VALUE(I200),0)=0,ISNUMBER(J200),OR(J200&lt;226,ABS(IFERROR(VALUE(LEFT(M200,FIND("-",M200)-1)),M200))*100&lt;22600)),"Проверьте цену товара. Большинство товаров в выбранной категории стоят дороже 226",""))))),"")</f>
      </c>
    </row>
    <row r="201">
      <c r="A201" s="2" t="inlineStr">
        <is>
          <t>VitalEmb</t>
        </is>
      </c>
      <c r="B201" s="2" t="inlineStr">
        <is>
          <t>Декор для одежды</t>
        </is>
      </c>
      <c r="C201" s="2">
        <v>607716576</v>
      </c>
      <c r="D201" s="2" t="inlineStr">
        <is>
          <t>grvspict0003_222489</t>
        </is>
      </c>
      <c r="E201" s="2" t="inlineStr">
        <is>
          <t>2047197410852</t>
        </is>
      </c>
      <c r="F201" s="2">
        <v>5</v>
      </c>
      <c r="G201" s="2">
        <v>0</v>
      </c>
      <c r="H201" s="2">
        <v>999</v>
      </c>
      <c r="I201" s="2" t="inlineStr">
        <is>
          <t>1100</t>
        </is>
      </c>
      <c r="J201" s="4"/>
      <c r="K201" s="2">
        <v>60</v>
      </c>
      <c r="L201" s="6"/>
      <c r="M201" s="2" t="str">
        <f>IF(J201="",ROUND(I201*(1-IF(ISBLANK(L201),K201,L201)/100),2),ROUND(J201*(1-IF(ISBLANK(L201),K201,L201)/100),2))</f>
      </c>
      <c r="N201" s="7" t="str">
        <f>IF(NOT(AND(J201="",L201="")),IF(OR(AND(L201&lt;&gt;"",NOT(ISNUMBER(L201))),IFERROR(MOD(L201,1),1)&gt;0,AND(ISNUMBER(L201),OR(L201&lt;0,L201&gt;95))),"Введите целое число от 0 до 95",IF(OR(AND(J201&lt;&gt;"",NOT(ISNUMBER(J201))),IFERROR(MOD(J201,1),1)&gt;0,AND(ISNUMBER(J201),OR(J201&lt;50,J201&gt;20000000))),"Введите целое число от 50 до 20000000",IF(NOT(ABS(IFERROR(VALUE(LEFT(M201,FIND("-",M201)-1)),M201)*100-(2500+2000000000)/2)&lt;=ABS(2500-2000000000)/2),"Цена со скидкой должна быть от 25 до 20000000",IF(IFERROR(VALUE(LEFT(M201,FIND("-",M201)-1)),M201)*229&lt;44000,"Вы уменьшили цену в несколько раз, товар попадет в карантин цен",IF(AND(IFERROR(VALUE(I201),0)=0,ISNUMBER(J201),OR(J201&lt;226,ABS(IFERROR(VALUE(LEFT(M201,FIND("-",M201)-1)),M201))*100&lt;22600)),"Проверьте цену товара. Большинство товаров в выбранной категории стоят дороже 226",""))))),"")</f>
      </c>
    </row>
    <row r="202">
      <c r="A202" s="2" t="inlineStr">
        <is>
          <t>VitalEmb</t>
        </is>
      </c>
      <c r="B202" s="2" t="inlineStr">
        <is>
          <t>Декор для одежды</t>
        </is>
      </c>
      <c r="C202" s="2">
        <v>605329721</v>
      </c>
      <c r="D202" s="2" t="inlineStr">
        <is>
          <t>pzkit2mh0024_pzmh0102</t>
        </is>
      </c>
      <c r="E202" s="2" t="inlineStr">
        <is>
          <t>2047174001158</t>
        </is>
      </c>
      <c r="F202" s="2">
        <v>12</v>
      </c>
      <c r="G202" s="2">
        <v>0</v>
      </c>
      <c r="H202" s="2">
        <v>999</v>
      </c>
      <c r="I202" s="2" t="inlineStr">
        <is>
          <t>2000</t>
        </is>
      </c>
      <c r="J202" s="4"/>
      <c r="K202" s="2">
        <v>52</v>
      </c>
      <c r="L202" s="6"/>
      <c r="M202" s="2" t="str">
        <f>IF(J202="",ROUND(I202*(1-IF(ISBLANK(L202),K202,L202)/100),2),ROUND(J202*(1-IF(ISBLANK(L202),K202,L202)/100),2))</f>
      </c>
      <c r="N202" s="7" t="str">
        <f>IF(NOT(AND(J202="",L202="")),IF(OR(AND(L202&lt;&gt;"",NOT(ISNUMBER(L202))),IFERROR(MOD(L202,1),1)&gt;0,AND(ISNUMBER(L202),OR(L202&lt;0,L202&gt;95))),"Введите целое число от 0 до 95",IF(OR(AND(J202&lt;&gt;"",NOT(ISNUMBER(J202))),IFERROR(MOD(J202,1),1)&gt;0,AND(ISNUMBER(J202),OR(J202&lt;50,J202&gt;20000000))),"Введите целое число от 50 до 20000000",IF(NOT(ABS(IFERROR(VALUE(LEFT(M202,FIND("-",M202)-1)),M202)*100-(2500+2000000000)/2)&lt;=ABS(2500-2000000000)/2),"Цена со скидкой должна быть от 25 до 20000000",IF(IFERROR(VALUE(LEFT(M202,FIND("-",M202)-1)),M202)*229&lt;96000,"Вы уменьшили цену в несколько раз, товар попадет в карантин цен",IF(AND(IFERROR(VALUE(I202),0)=0,ISNUMBER(J202),OR(J202&lt;226,ABS(IFERROR(VALUE(LEFT(M202,FIND("-",M202)-1)),M202))*100&lt;22600)),"Проверьте цену товара. Большинство товаров в выбранной категории стоят дороже 226",""))))),"")</f>
      </c>
    </row>
    <row r="203">
      <c r="A203" s="2" t="inlineStr">
        <is>
          <t>VitalEmb</t>
        </is>
      </c>
      <c r="B203" s="2" t="inlineStr">
        <is>
          <t>Декор для одежды</t>
        </is>
      </c>
      <c r="C203" s="2">
        <v>600317062</v>
      </c>
      <c r="D203" s="2" t="inlineStr">
        <is>
          <t>vsrfform0002_222759</t>
        </is>
      </c>
      <c r="E203" s="2" t="inlineStr">
        <is>
          <t>2047124199584</t>
        </is>
      </c>
      <c r="F203" s="2">
        <v>18</v>
      </c>
      <c r="G203" s="2">
        <v>0</v>
      </c>
      <c r="H203" s="2">
        <v>999</v>
      </c>
      <c r="I203" s="2" t="inlineStr">
        <is>
          <t>1100</t>
        </is>
      </c>
      <c r="J203" s="4"/>
      <c r="K203" s="2">
        <v>57</v>
      </c>
      <c r="L203" s="6"/>
      <c r="M203" s="2" t="str">
        <f>IF(J203="",ROUND(I203*(1-IF(ISBLANK(L203),K203,L203)/100),2),ROUND(J203*(1-IF(ISBLANK(L203),K203,L203)/100),2))</f>
      </c>
      <c r="N203" s="7" t="str">
        <f>IF(NOT(AND(J203="",L203="")),IF(OR(AND(L203&lt;&gt;"",NOT(ISNUMBER(L203))),IFERROR(MOD(L203,1),1)&gt;0,AND(ISNUMBER(L203),OR(L203&lt;0,L203&gt;95))),"Введите целое число от 0 до 95",IF(OR(AND(J203&lt;&gt;"",NOT(ISNUMBER(J203))),IFERROR(MOD(J203,1),1)&gt;0,AND(ISNUMBER(J203),OR(J203&lt;50,J203&gt;20000000))),"Введите целое число от 50 до 20000000",IF(NOT(ABS(IFERROR(VALUE(LEFT(M203,FIND("-",M203)-1)),M203)*100-(2500+2000000000)/2)&lt;=ABS(2500-2000000000)/2),"Цена со скидкой должна быть от 25 до 20000000",IF(IFERROR(VALUE(LEFT(M203,FIND("-",M203)-1)),M203)*229&lt;47300,"Вы уменьшили цену в несколько раз, товар попадет в карантин цен",IF(AND(IFERROR(VALUE(I203),0)=0,ISNUMBER(J203),OR(J203&lt;226,ABS(IFERROR(VALUE(LEFT(M203,FIND("-",M203)-1)),M203))*100&lt;22600)),"Проверьте цену товара. Большинство товаров в выбранной категории стоят дороже 226",""))))),"")</f>
      </c>
    </row>
    <row r="204">
      <c r="A204" s="2" t="inlineStr">
        <is>
          <t>VitalEmb</t>
        </is>
      </c>
      <c r="B204" s="2" t="inlineStr">
        <is>
          <t>Декор для одежды</t>
        </is>
      </c>
      <c r="C204" s="2">
        <v>600724377</v>
      </c>
      <c r="D204" s="2" t="inlineStr">
        <is>
          <t>priktext0008_text0020</t>
        </is>
      </c>
      <c r="E204" s="2" t="inlineStr">
        <is>
          <t>2047130471704</t>
        </is>
      </c>
      <c r="F204" s="2">
        <v>15</v>
      </c>
      <c r="G204" s="2">
        <v>0</v>
      </c>
      <c r="H204" s="2">
        <v>999</v>
      </c>
      <c r="I204" s="2" t="inlineStr">
        <is>
          <t>1100</t>
        </is>
      </c>
      <c r="J204" s="4"/>
      <c r="K204" s="2">
        <v>63</v>
      </c>
      <c r="L204" s="6"/>
      <c r="M204" s="2" t="str">
        <f>IF(J204="",ROUND(I204*(1-IF(ISBLANK(L204),K204,L204)/100),2),ROUND(J204*(1-IF(ISBLANK(L204),K204,L204)/100),2))</f>
      </c>
      <c r="N204" s="7" t="str">
        <f>IF(NOT(AND(J204="",L204="")),IF(OR(AND(L204&lt;&gt;"",NOT(ISNUMBER(L204))),IFERROR(MOD(L204,1),1)&gt;0,AND(ISNUMBER(L204),OR(L204&lt;0,L204&gt;95))),"Введите целое число от 0 до 95",IF(OR(AND(J204&lt;&gt;"",NOT(ISNUMBER(J204))),IFERROR(MOD(J204,1),1)&gt;0,AND(ISNUMBER(J204),OR(J204&lt;50,J204&gt;20000000))),"Введите целое число от 50 до 20000000",IF(NOT(ABS(IFERROR(VALUE(LEFT(M204,FIND("-",M204)-1)),M204)*100-(2500+2000000000)/2)&lt;=ABS(2500-2000000000)/2),"Цена со скидкой должна быть от 25 до 20000000",IF(IFERROR(VALUE(LEFT(M204,FIND("-",M204)-1)),M204)*229&lt;40700,"Вы уменьшили цену в несколько раз, товар попадет в карантин цен",IF(AND(IFERROR(VALUE(I204),0)=0,ISNUMBER(J204),OR(J204&lt;226,ABS(IFERROR(VALUE(LEFT(M204,FIND("-",M204)-1)),M204))*100&lt;22600)),"Проверьте цену товара. Большинство товаров в выбранной категории стоят дороже 226",""))))),"")</f>
      </c>
    </row>
    <row r="205">
      <c r="A205" s="2" t="inlineStr">
        <is>
          <t>VitalEmb</t>
        </is>
      </c>
      <c r="B205" s="2" t="inlineStr">
        <is>
          <t>Декор для одежды</t>
        </is>
      </c>
      <c r="C205" s="2">
        <v>662679433</v>
      </c>
      <c r="D205" s="2" t="inlineStr">
        <is>
          <t>razpict0019</t>
        </is>
      </c>
      <c r="E205" s="2" t="inlineStr">
        <is>
          <t>2047550174018</t>
        </is>
      </c>
      <c r="F205" s="2">
        <v>19</v>
      </c>
      <c r="G205" s="2">
        <v>0</v>
      </c>
      <c r="H205" s="2">
        <v>595</v>
      </c>
      <c r="I205" s="2" t="inlineStr">
        <is>
          <t>1100</t>
        </is>
      </c>
      <c r="J205" s="4"/>
      <c r="K205" s="2">
        <v>57</v>
      </c>
      <c r="L205" s="6"/>
      <c r="M205" s="2" t="str">
        <f>IF(J205="",ROUND(I205*(1-IF(ISBLANK(L205),K205,L205)/100),2),ROUND(J205*(1-IF(ISBLANK(L205),K205,L205)/100),2))</f>
      </c>
      <c r="N205" s="7" t="str">
        <f>IF(NOT(AND(J205="",L205="")),IF(OR(AND(L205&lt;&gt;"",NOT(ISNUMBER(L205))),IFERROR(MOD(L205,1),1)&gt;0,AND(ISNUMBER(L205),OR(L205&lt;0,L205&gt;95))),"Введите целое число от 0 до 95",IF(OR(AND(J205&lt;&gt;"",NOT(ISNUMBER(J205))),IFERROR(MOD(J205,1),1)&gt;0,AND(ISNUMBER(J205),OR(J205&lt;50,J205&gt;20000000))),"Введите целое число от 50 до 20000000",IF(NOT(ABS(IFERROR(VALUE(LEFT(M205,FIND("-",M205)-1)),M205)*100-(2500+2000000000)/2)&lt;=ABS(2500-2000000000)/2),"Цена со скидкой должна быть от 25 до 20000000",IF(IFERROR(VALUE(LEFT(M205,FIND("-",M205)-1)),M205)*229&lt;47300,"Вы уменьшили цену в несколько раз, товар попадет в карантин цен",IF(AND(IFERROR(VALUE(I205),0)=0,ISNUMBER(J205),OR(J205&lt;226,ABS(IFERROR(VALUE(LEFT(M205,FIND("-",M205)-1)),M205))*100&lt;22600)),"Проверьте цену товара. Большинство товаров в выбранной категории стоят дороже 226",""))))),"")</f>
      </c>
    </row>
    <row r="206">
      <c r="A206" s="2" t="inlineStr">
        <is>
          <t>VitalEmb</t>
        </is>
      </c>
      <c r="B206" s="2" t="inlineStr">
        <is>
          <t>Декор для одежды</t>
        </is>
      </c>
      <c r="C206" s="2">
        <v>611993075</v>
      </c>
      <c r="D206" s="2" t="inlineStr">
        <is>
          <t>pzngmh0012_222755</t>
        </is>
      </c>
      <c r="E206" s="2" t="inlineStr">
        <is>
          <t>2047239535246</t>
        </is>
      </c>
      <c r="F206" s="2">
        <v>7</v>
      </c>
      <c r="G206" s="2">
        <v>0</v>
      </c>
      <c r="H206" s="2">
        <v>111</v>
      </c>
      <c r="I206" s="2" t="inlineStr">
        <is>
          <t>1100</t>
        </is>
      </c>
      <c r="J206" s="4"/>
      <c r="K206" s="2">
        <v>57</v>
      </c>
      <c r="L206" s="6"/>
      <c r="M206" s="2" t="str">
        <f>IF(J206="",ROUND(I206*(1-IF(ISBLANK(L206),K206,L206)/100),2),ROUND(J206*(1-IF(ISBLANK(L206),K206,L206)/100),2))</f>
      </c>
      <c r="N206" s="7" t="str">
        <f>IF(NOT(AND(J206="",L206="")),IF(OR(AND(L206&lt;&gt;"",NOT(ISNUMBER(L206))),IFERROR(MOD(L206,1),1)&gt;0,AND(ISNUMBER(L206),OR(L206&lt;0,L206&gt;95))),"Введите целое число от 0 до 95",IF(OR(AND(J206&lt;&gt;"",NOT(ISNUMBER(J206))),IFERROR(MOD(J206,1),1)&gt;0,AND(ISNUMBER(J206),OR(J206&lt;50,J206&gt;20000000))),"Введите целое число от 50 до 20000000",IF(NOT(ABS(IFERROR(VALUE(LEFT(M206,FIND("-",M206)-1)),M206)*100-(2500+2000000000)/2)&lt;=ABS(2500-2000000000)/2),"Цена со скидкой должна быть от 25 до 20000000",IF(IFERROR(VALUE(LEFT(M206,FIND("-",M206)-1)),M206)*229&lt;47300,"Вы уменьшили цену в несколько раз, товар попадет в карантин цен",IF(AND(IFERROR(VALUE(I206),0)=0,ISNUMBER(J206),OR(J206&lt;226,ABS(IFERROR(VALUE(LEFT(M206,FIND("-",M206)-1)),M206))*100&lt;22600)),"Проверьте цену товара. Большинство товаров в выбранной категории стоят дороже 226",""))))),"")</f>
      </c>
    </row>
    <row r="207">
      <c r="A207" s="2" t="inlineStr">
        <is>
          <t>VitalEmb</t>
        </is>
      </c>
      <c r="B207" s="2" t="inlineStr">
        <is>
          <t>Декор для одежды</t>
        </is>
      </c>
      <c r="C207" s="2">
        <v>655503085</v>
      </c>
      <c r="D207" s="2" t="inlineStr">
        <is>
          <t>priktext0001_223020</t>
        </is>
      </c>
      <c r="E207" s="2" t="inlineStr">
        <is>
          <t>2047517931838</t>
        </is>
      </c>
      <c r="F207" s="2" t="inlineStr">
        <is>
          <t/>
        </is>
      </c>
      <c r="G207" s="2" t="inlineStr">
        <is>
          <t/>
        </is>
      </c>
      <c r="H207" s="2" t="inlineStr">
        <is>
          <t/>
        </is>
      </c>
      <c r="I207" s="2" t="inlineStr">
        <is>
          <t>1100</t>
        </is>
      </c>
      <c r="J207" s="4"/>
      <c r="K207" s="2">
        <v>55</v>
      </c>
      <c r="L207" s="6"/>
      <c r="M207" s="2" t="str">
        <f>IF(J207="",ROUND(I207*(1-IF(ISBLANK(L207),K207,L207)/100),2),ROUND(J207*(1-IF(ISBLANK(L207),K207,L207)/100),2))</f>
      </c>
      <c r="N207" s="7" t="str">
        <f>IF(NOT(AND(J207="",L207="")),IF(OR(AND(L207&lt;&gt;"",NOT(ISNUMBER(L207))),IFERROR(MOD(L207,1),1)&gt;0,AND(ISNUMBER(L207),OR(L207&lt;0,L207&gt;95))),"Введите целое число от 0 до 95",IF(OR(AND(J207&lt;&gt;"",NOT(ISNUMBER(J207))),IFERROR(MOD(J207,1),1)&gt;0,AND(ISNUMBER(J207),OR(J207&lt;50,J207&gt;20000000))),"Введите целое число от 50 до 20000000",IF(NOT(ABS(IFERROR(VALUE(LEFT(M207,FIND("-",M207)-1)),M207)*100-(2500+2000000000)/2)&lt;=ABS(2500-2000000000)/2),"Цена со скидкой должна быть от 25 до 20000000",IF(IFERROR(VALUE(LEFT(M207,FIND("-",M207)-1)),M207)*229&lt;49499,"Вы уменьшили цену в несколько раз, товар попадет в карантин цен",IF(AND(IFERROR(VALUE(I207),0)=0,ISNUMBER(J207),OR(J207&lt;226,ABS(IFERROR(VALUE(LEFT(M207,FIND("-",M207)-1)),M207))*100&lt;22600)),"Проверьте цену товара. Большинство товаров в выбранной категории стоят дороже 226",""))))),"")</f>
      </c>
    </row>
    <row r="208">
      <c r="A208" s="2" t="inlineStr">
        <is>
          <t>VitalEmb</t>
        </is>
      </c>
      <c r="B208" s="2" t="inlineStr">
        <is>
          <t>Декор для одежды</t>
        </is>
      </c>
      <c r="C208" s="2">
        <v>598812664</v>
      </c>
      <c r="D208" s="2" t="inlineStr">
        <is>
          <t>vshnr0004_222957</t>
        </is>
      </c>
      <c r="E208" s="2" t="inlineStr">
        <is>
          <t>2047108791285</t>
        </is>
      </c>
      <c r="F208" s="2">
        <v>5</v>
      </c>
      <c r="G208" s="2">
        <v>0</v>
      </c>
      <c r="H208" s="2">
        <v>999</v>
      </c>
      <c r="I208" s="2" t="inlineStr">
        <is>
          <t>1100</t>
        </is>
      </c>
      <c r="J208" s="4"/>
      <c r="K208" s="2">
        <v>57</v>
      </c>
      <c r="L208" s="6"/>
      <c r="M208" s="2" t="str">
        <f>IF(J208="",ROUND(I208*(1-IF(ISBLANK(L208),K208,L208)/100),2),ROUND(J208*(1-IF(ISBLANK(L208),K208,L208)/100),2))</f>
      </c>
      <c r="N208" s="7" t="str">
        <f>IF(NOT(AND(J208="",L208="")),IF(OR(AND(L208&lt;&gt;"",NOT(ISNUMBER(L208))),IFERROR(MOD(L208,1),1)&gt;0,AND(ISNUMBER(L208),OR(L208&lt;0,L208&gt;95))),"Введите целое число от 0 до 95",IF(OR(AND(J208&lt;&gt;"",NOT(ISNUMBER(J208))),IFERROR(MOD(J208,1),1)&gt;0,AND(ISNUMBER(J208),OR(J208&lt;50,J208&gt;20000000))),"Введите целое число от 50 до 20000000",IF(NOT(ABS(IFERROR(VALUE(LEFT(M208,FIND("-",M208)-1)),M208)*100-(2500+2000000000)/2)&lt;=ABS(2500-2000000000)/2),"Цена со скидкой должна быть от 25 до 20000000",IF(IFERROR(VALUE(LEFT(M208,FIND("-",M208)-1)),M208)*229&lt;47300,"Вы уменьшили цену в несколько раз, товар попадет в карантин цен",IF(AND(IFERROR(VALUE(I208),0)=0,ISNUMBER(J208),OR(J208&lt;226,ABS(IFERROR(VALUE(LEFT(M208,FIND("-",M208)-1)),M208))*100&lt;22600)),"Проверьте цену товара. Большинство товаров в выбранной категории стоят дороже 226",""))))),"")</f>
      </c>
    </row>
    <row r="209">
      <c r="A209" s="2" t="inlineStr">
        <is>
          <t>VitalEmb</t>
        </is>
      </c>
      <c r="B209" s="2" t="inlineStr">
        <is>
          <t>Декор для одежды</t>
        </is>
      </c>
      <c r="C209" s="2">
        <v>589057650</v>
      </c>
      <c r="D209" s="2" t="inlineStr">
        <is>
          <t>nevnback0001_back0001_0101228255</t>
        </is>
      </c>
      <c r="E209" s="2" t="inlineStr">
        <is>
          <t>2047012895055</t>
        </is>
      </c>
      <c r="F209" s="2">
        <v>16</v>
      </c>
      <c r="G209" s="2">
        <v>0</v>
      </c>
      <c r="H209" s="2">
        <v>250</v>
      </c>
      <c r="I209" s="2" t="inlineStr">
        <is>
          <t>1500</t>
        </is>
      </c>
      <c r="J209" s="4"/>
      <c r="K209" s="2">
        <v>63</v>
      </c>
      <c r="L209" s="6"/>
      <c r="M209" s="2" t="str">
        <f>IF(J209="",ROUND(I209*(1-IF(ISBLANK(L209),K209,L209)/100),2),ROUND(J209*(1-IF(ISBLANK(L209),K209,L209)/100),2))</f>
      </c>
      <c r="N209" s="7" t="str">
        <f>IF(NOT(AND(J209="",L209="")),IF(OR(AND(L209&lt;&gt;"",NOT(ISNUMBER(L209))),IFERROR(MOD(L209,1),1)&gt;0,AND(ISNUMBER(L209),OR(L209&lt;0,L209&gt;95))),"Введите целое число от 0 до 95",IF(OR(AND(J209&lt;&gt;"",NOT(ISNUMBER(J209))),IFERROR(MOD(J209,1),1)&gt;0,AND(ISNUMBER(J209),OR(J209&lt;50,J209&gt;20000000))),"Введите целое число от 50 до 20000000",IF(NOT(ABS(IFERROR(VALUE(LEFT(M209,FIND("-",M209)-1)),M209)*100-(2500+2000000000)/2)&lt;=ABS(2500-2000000000)/2),"Цена со скидкой должна быть от 25 до 20000000",IF(IFERROR(VALUE(LEFT(M209,FIND("-",M209)-1)),M209)*229&lt;55500,"Вы уменьшили цену в несколько раз, товар попадет в карантин цен",IF(AND(IFERROR(VALUE(I209),0)=0,ISNUMBER(J209),OR(J209&lt;226,ABS(IFERROR(VALUE(LEFT(M209,FIND("-",M209)-1)),M209))*100&lt;22600)),"Проверьте цену товара. Большинство товаров в выбранной категории стоят дороже 226",""))))),"")</f>
      </c>
    </row>
    <row r="210">
      <c r="A210" s="2" t="inlineStr">
        <is>
          <t>VitalEmb</t>
        </is>
      </c>
      <c r="B210" s="2" t="inlineStr">
        <is>
          <t>Декор для одежды</t>
        </is>
      </c>
      <c r="C210" s="2">
        <v>662769300</v>
      </c>
      <c r="D210" s="2" t="inlineStr">
        <is>
          <t>razpict0018</t>
        </is>
      </c>
      <c r="E210" s="2" t="inlineStr">
        <is>
          <t>2047550815614</t>
        </is>
      </c>
      <c r="F210" s="2">
        <v>20</v>
      </c>
      <c r="G210" s="2">
        <v>0</v>
      </c>
      <c r="H210" s="2">
        <v>999</v>
      </c>
      <c r="I210" s="2" t="inlineStr">
        <is>
          <t>1100</t>
        </is>
      </c>
      <c r="J210" s="4"/>
      <c r="K210" s="2">
        <v>57</v>
      </c>
      <c r="L210" s="6"/>
      <c r="M210" s="2" t="str">
        <f>IF(J210="",ROUND(I210*(1-IF(ISBLANK(L210),K210,L210)/100),2),ROUND(J210*(1-IF(ISBLANK(L210),K210,L210)/100),2))</f>
      </c>
      <c r="N210" s="7" t="str">
        <f>IF(NOT(AND(J210="",L210="")),IF(OR(AND(L210&lt;&gt;"",NOT(ISNUMBER(L210))),IFERROR(MOD(L210,1),1)&gt;0,AND(ISNUMBER(L210),OR(L210&lt;0,L210&gt;95))),"Введите целое число от 0 до 95",IF(OR(AND(J210&lt;&gt;"",NOT(ISNUMBER(J210))),IFERROR(MOD(J210,1),1)&gt;0,AND(ISNUMBER(J210),OR(J210&lt;50,J210&gt;20000000))),"Введите целое число от 50 до 20000000",IF(NOT(ABS(IFERROR(VALUE(LEFT(M210,FIND("-",M210)-1)),M210)*100-(2500+2000000000)/2)&lt;=ABS(2500-2000000000)/2),"Цена со скидкой должна быть от 25 до 20000000",IF(IFERROR(VALUE(LEFT(M210,FIND("-",M210)-1)),M210)*229&lt;47300,"Вы уменьшили цену в несколько раз, товар попадет в карантин цен",IF(AND(IFERROR(VALUE(I210),0)=0,ISNUMBER(J210),OR(J210&lt;226,ABS(IFERROR(VALUE(LEFT(M210,FIND("-",M210)-1)),M210))*100&lt;22600)),"Проверьте цену товара. Большинство товаров в выбранной категории стоят дороже 226",""))))),"")</f>
      </c>
    </row>
    <row r="211">
      <c r="A211" s="2" t="inlineStr">
        <is>
          <t>VitalEmb</t>
        </is>
      </c>
      <c r="B211" s="2" t="inlineStr">
        <is>
          <t>Декор для одежды</t>
        </is>
      </c>
      <c r="C211" s="2">
        <v>613297107</v>
      </c>
      <c r="D211" s="2" t="inlineStr">
        <is>
          <t>pzngmh0024_223165</t>
        </is>
      </c>
      <c r="E211" s="2" t="inlineStr">
        <is>
          <t>2047260533747</t>
        </is>
      </c>
      <c r="F211" s="2">
        <v>10</v>
      </c>
      <c r="G211" s="2">
        <v>0</v>
      </c>
      <c r="H211" s="2">
        <v>999</v>
      </c>
      <c r="I211" s="2" t="inlineStr">
        <is>
          <t>1100</t>
        </is>
      </c>
      <c r="J211" s="4"/>
      <c r="K211" s="2">
        <v>57</v>
      </c>
      <c r="L211" s="6"/>
      <c r="M211" s="2" t="str">
        <f>IF(J211="",ROUND(I211*(1-IF(ISBLANK(L211),K211,L211)/100),2),ROUND(J211*(1-IF(ISBLANK(L211),K211,L211)/100),2))</f>
      </c>
      <c r="N211" s="7" t="str">
        <f>IF(NOT(AND(J211="",L211="")),IF(OR(AND(L211&lt;&gt;"",NOT(ISNUMBER(L211))),IFERROR(MOD(L211,1),1)&gt;0,AND(ISNUMBER(L211),OR(L211&lt;0,L211&gt;95))),"Введите целое число от 0 до 95",IF(OR(AND(J211&lt;&gt;"",NOT(ISNUMBER(J211))),IFERROR(MOD(J211,1),1)&gt;0,AND(ISNUMBER(J211),OR(J211&lt;50,J211&gt;20000000))),"Введите целое число от 50 до 20000000",IF(NOT(ABS(IFERROR(VALUE(LEFT(M211,FIND("-",M211)-1)),M211)*100-(2500+2000000000)/2)&lt;=ABS(2500-2000000000)/2),"Цена со скидкой должна быть от 25 до 20000000",IF(IFERROR(VALUE(LEFT(M211,FIND("-",M211)-1)),M211)*229&lt;47300,"Вы уменьшили цену в несколько раз, товар попадет в карантин цен",IF(AND(IFERROR(VALUE(I211),0)=0,ISNUMBER(J211),OR(J211&lt;226,ABS(IFERROR(VALUE(LEFT(M211,FIND("-",M211)-1)),M211))*100&lt;22600)),"Проверьте цену товара. Большинство товаров в выбранной категории стоят дороже 226",""))))),"")</f>
      </c>
    </row>
    <row r="212">
      <c r="A212" s="2" t="inlineStr">
        <is>
          <t>VitalEmb</t>
        </is>
      </c>
      <c r="B212" s="2" t="inlineStr">
        <is>
          <t>Декор для одежды</t>
        </is>
      </c>
      <c r="C212" s="2">
        <v>618429301</v>
      </c>
      <c r="D212" s="2" t="inlineStr">
        <is>
          <t>razpict0015</t>
        </is>
      </c>
      <c r="E212" s="2" t="inlineStr">
        <is>
          <t>2047309170773</t>
        </is>
      </c>
      <c r="F212" s="2">
        <v>25</v>
      </c>
      <c r="G212" s="2">
        <v>0</v>
      </c>
      <c r="H212" s="2">
        <v>999</v>
      </c>
      <c r="I212" s="2" t="inlineStr">
        <is>
          <t>1100</t>
        </is>
      </c>
      <c r="J212" s="4"/>
      <c r="K212" s="2">
        <v>59</v>
      </c>
      <c r="L212" s="6"/>
      <c r="M212" s="2" t="str">
        <f>IF(J212="",ROUND(I212*(1-IF(ISBLANK(L212),K212,L212)/100),2),ROUND(J212*(1-IF(ISBLANK(L212),K212,L212)/100),2))</f>
      </c>
      <c r="N212" s="7" t="str">
        <f>IF(NOT(AND(J212="",L212="")),IF(OR(AND(L212&lt;&gt;"",NOT(ISNUMBER(L212))),IFERROR(MOD(L212,1),1)&gt;0,AND(ISNUMBER(L212),OR(L212&lt;0,L212&gt;95))),"Введите целое число от 0 до 95",IF(OR(AND(J212&lt;&gt;"",NOT(ISNUMBER(J212))),IFERROR(MOD(J212,1),1)&gt;0,AND(ISNUMBER(J212),OR(J212&lt;50,J212&gt;20000000))),"Введите целое число от 50 до 20000000",IF(NOT(ABS(IFERROR(VALUE(LEFT(M212,FIND("-",M212)-1)),M212)*100-(2500+2000000000)/2)&lt;=ABS(2500-2000000000)/2),"Цена со скидкой должна быть от 25 до 20000000",IF(IFERROR(VALUE(LEFT(M212,FIND("-",M212)-1)),M212)*229&lt;45100,"Вы уменьшили цену в несколько раз, товар попадет в карантин цен",IF(AND(IFERROR(VALUE(I212),0)=0,ISNUMBER(J212),OR(J212&lt;226,ABS(IFERROR(VALUE(LEFT(M212,FIND("-",M212)-1)),M212))*100&lt;22600)),"Проверьте цену товара. Большинство товаров в выбранной категории стоят дороже 226",""))))),"")</f>
      </c>
    </row>
    <row r="213">
      <c r="A213" s="2" t="inlineStr">
        <is>
          <t>VitalEmb</t>
        </is>
      </c>
      <c r="B213" s="2" t="inlineStr">
        <is>
          <t>Декор для одежды</t>
        </is>
      </c>
      <c r="C213" s="2">
        <v>589065705</v>
      </c>
      <c r="D213" s="2" t="inlineStr">
        <is>
          <t>nevnng0008_form0039_222511</t>
        </is>
      </c>
      <c r="E213" s="2" t="inlineStr">
        <is>
          <t>2047012995342</t>
        </is>
      </c>
      <c r="F213" s="2">
        <v>17</v>
      </c>
      <c r="G213" s="2">
        <v>0</v>
      </c>
      <c r="H213" s="2">
        <v>999</v>
      </c>
      <c r="I213" s="2" t="inlineStr">
        <is>
          <t>1100</t>
        </is>
      </c>
      <c r="J213" s="4"/>
      <c r="K213" s="2">
        <v>65</v>
      </c>
      <c r="L213" s="6"/>
      <c r="M213" s="2" t="str">
        <f>IF(J213="",ROUND(I213*(1-IF(ISBLANK(L213),K213,L213)/100),2),ROUND(J213*(1-IF(ISBLANK(L213),K213,L213)/100),2))</f>
      </c>
      <c r="N213" s="7" t="str">
        <f>IF(NOT(AND(J213="",L213="")),IF(OR(AND(L213&lt;&gt;"",NOT(ISNUMBER(L213))),IFERROR(MOD(L213,1),1)&gt;0,AND(ISNUMBER(L213),OR(L213&lt;0,L213&gt;95))),"Введите целое число от 0 до 95",IF(OR(AND(J213&lt;&gt;"",NOT(ISNUMBER(J213))),IFERROR(MOD(J213,1),1)&gt;0,AND(ISNUMBER(J213),OR(J213&lt;50,J213&gt;20000000))),"Введите целое число от 50 до 20000000",IF(NOT(ABS(IFERROR(VALUE(LEFT(M213,FIND("-",M213)-1)),M213)*100-(2500+2000000000)/2)&lt;=ABS(2500-2000000000)/2),"Цена со скидкой должна быть от 25 до 20000000",IF(IFERROR(VALUE(LEFT(M213,FIND("-",M213)-1)),M213)*229&lt;38500,"Вы уменьшили цену в несколько раз, товар попадет в карантин цен",IF(AND(IFERROR(VALUE(I213),0)=0,ISNUMBER(J213),OR(J213&lt;226,ABS(IFERROR(VALUE(LEFT(M213,FIND("-",M213)-1)),M213))*100&lt;22600)),"Проверьте цену товара. Большинство товаров в выбранной категории стоят дороже 226",""))))),"")</f>
      </c>
    </row>
    <row r="214">
      <c r="A214" s="2" t="inlineStr">
        <is>
          <t>VitalEmb</t>
        </is>
      </c>
      <c r="B214" s="2" t="inlineStr">
        <is>
          <t>Декор для одежды</t>
        </is>
      </c>
      <c r="C214" s="2">
        <v>593340675</v>
      </c>
      <c r="D214" s="2" t="inlineStr">
        <is>
          <t>pzkit2mh0009_pzmh0053</t>
        </is>
      </c>
      <c r="E214" s="2" t="inlineStr">
        <is>
          <t>2047049617125</t>
        </is>
      </c>
      <c r="F214" s="2">
        <v>18</v>
      </c>
      <c r="G214" s="2">
        <v>0</v>
      </c>
      <c r="H214" s="2">
        <v>536</v>
      </c>
      <c r="I214" s="2" t="inlineStr">
        <is>
          <t>2000</t>
        </is>
      </c>
      <c r="J214" s="4"/>
      <c r="K214" s="2">
        <v>66</v>
      </c>
      <c r="L214" s="6"/>
      <c r="M214" s="2" t="str">
        <f>IF(J214="",ROUND(I214*(1-IF(ISBLANK(L214),K214,L214)/100),2),ROUND(J214*(1-IF(ISBLANK(L214),K214,L214)/100),2))</f>
      </c>
      <c r="N214" s="7" t="str">
        <f>IF(NOT(AND(J214="",L214="")),IF(OR(AND(L214&lt;&gt;"",NOT(ISNUMBER(L214))),IFERROR(MOD(L214,1),1)&gt;0,AND(ISNUMBER(L214),OR(L214&lt;0,L214&gt;95))),"Введите целое число от 0 до 95",IF(OR(AND(J214&lt;&gt;"",NOT(ISNUMBER(J214))),IFERROR(MOD(J214,1),1)&gt;0,AND(ISNUMBER(J214),OR(J214&lt;50,J214&gt;20000000))),"Введите целое число от 50 до 20000000",IF(NOT(ABS(IFERROR(VALUE(LEFT(M214,FIND("-",M214)-1)),M214)*100-(2500+2000000000)/2)&lt;=ABS(2500-2000000000)/2),"Цена со скидкой должна быть от 25 до 20000000",IF(IFERROR(VALUE(LEFT(M214,FIND("-",M214)-1)),M214)*229&lt;67999,"Вы уменьшили цену в несколько раз, товар попадет в карантин цен",IF(AND(IFERROR(VALUE(I214),0)=0,ISNUMBER(J214),OR(J214&lt;226,ABS(IFERROR(VALUE(LEFT(M214,FIND("-",M214)-1)),M214))*100&lt;22600)),"Проверьте цену товара. Большинство товаров в выбранной категории стоят дороже 226",""))))),"")</f>
      </c>
    </row>
    <row r="215">
      <c r="A215" s="2" t="inlineStr">
        <is>
          <t>VitalEmb</t>
        </is>
      </c>
      <c r="B215" s="2" t="inlineStr">
        <is>
          <t>Декор для одежды</t>
        </is>
      </c>
      <c r="C215" s="2">
        <v>591176267</v>
      </c>
      <c r="D215" s="2" t="inlineStr">
        <is>
          <t>vshng0004_form0013_222344</t>
        </is>
      </c>
      <c r="E215" s="2" t="inlineStr">
        <is>
          <t>2047030576929</t>
        </is>
      </c>
      <c r="F215" s="2">
        <v>18</v>
      </c>
      <c r="G215" s="2">
        <v>0</v>
      </c>
      <c r="H215" s="2">
        <v>7</v>
      </c>
      <c r="I215" s="2" t="inlineStr">
        <is>
          <t>1100</t>
        </is>
      </c>
      <c r="J215" s="4"/>
      <c r="K215" s="2">
        <v>65</v>
      </c>
      <c r="L215" s="6"/>
      <c r="M215" s="2" t="str">
        <f>IF(J215="",ROUND(I215*(1-IF(ISBLANK(L215),K215,L215)/100),2),ROUND(J215*(1-IF(ISBLANK(L215),K215,L215)/100),2))</f>
      </c>
      <c r="N215" s="7" t="str">
        <f>IF(NOT(AND(J215="",L215="")),IF(OR(AND(L215&lt;&gt;"",NOT(ISNUMBER(L215))),IFERROR(MOD(L215,1),1)&gt;0,AND(ISNUMBER(L215),OR(L215&lt;0,L215&gt;95))),"Введите целое число от 0 до 95",IF(OR(AND(J215&lt;&gt;"",NOT(ISNUMBER(J215))),IFERROR(MOD(J215,1),1)&gt;0,AND(ISNUMBER(J215),OR(J215&lt;50,J215&gt;20000000))),"Введите целое число от 50 до 20000000",IF(NOT(ABS(IFERROR(VALUE(LEFT(M215,FIND("-",M215)-1)),M215)*100-(2500+2000000000)/2)&lt;=ABS(2500-2000000000)/2),"Цена со скидкой должна быть от 25 до 20000000",IF(IFERROR(VALUE(LEFT(M215,FIND("-",M215)-1)),M215)*229&lt;38500,"Вы уменьшили цену в несколько раз, товар попадет в карантин цен",IF(AND(IFERROR(VALUE(I215),0)=0,ISNUMBER(J215),OR(J215&lt;226,ABS(IFERROR(VALUE(LEFT(M215,FIND("-",M215)-1)),M215))*100&lt;22600)),"Проверьте цену товара. Большинство товаров в выбранной категории стоят дороже 226",""))))),"")</f>
      </c>
    </row>
    <row r="216">
      <c r="A216" s="2" t="inlineStr">
        <is>
          <t>VitalEmb</t>
        </is>
      </c>
      <c r="B216" s="2" t="inlineStr">
        <is>
          <t>Декор для одежды</t>
        </is>
      </c>
      <c r="C216" s="2">
        <v>613291464</v>
      </c>
      <c r="D216" s="2" t="inlineStr">
        <is>
          <t>pzngmh0023_222856</t>
        </is>
      </c>
      <c r="E216" s="2" t="inlineStr">
        <is>
          <t>2047260472831</t>
        </is>
      </c>
      <c r="F216" s="2" t="inlineStr">
        <is>
          <t/>
        </is>
      </c>
      <c r="G216" s="2" t="inlineStr">
        <is>
          <t/>
        </is>
      </c>
      <c r="H216" s="2" t="inlineStr">
        <is>
          <t/>
        </is>
      </c>
      <c r="I216" s="2" t="inlineStr">
        <is>
          <t>1100</t>
        </is>
      </c>
      <c r="J216" s="4"/>
      <c r="K216" s="2">
        <v>55</v>
      </c>
      <c r="L216" s="6"/>
      <c r="M216" s="2" t="str">
        <f>IF(J216="",ROUND(I216*(1-IF(ISBLANK(L216),K216,L216)/100),2),ROUND(J216*(1-IF(ISBLANK(L216),K216,L216)/100),2))</f>
      </c>
      <c r="N216" s="7" t="str">
        <f>IF(NOT(AND(J216="",L216="")),IF(OR(AND(L216&lt;&gt;"",NOT(ISNUMBER(L216))),IFERROR(MOD(L216,1),1)&gt;0,AND(ISNUMBER(L216),OR(L216&lt;0,L216&gt;95))),"Введите целое число от 0 до 95",IF(OR(AND(J216&lt;&gt;"",NOT(ISNUMBER(J216))),IFERROR(MOD(J216,1),1)&gt;0,AND(ISNUMBER(J216),OR(J216&lt;50,J216&gt;20000000))),"Введите целое число от 50 до 20000000",IF(NOT(ABS(IFERROR(VALUE(LEFT(M216,FIND("-",M216)-1)),M216)*100-(2500+2000000000)/2)&lt;=ABS(2500-2000000000)/2),"Цена со скидкой должна быть от 25 до 20000000",IF(IFERROR(VALUE(LEFT(M216,FIND("-",M216)-1)),M216)*229&lt;49499,"Вы уменьшили цену в несколько раз, товар попадет в карантин цен",IF(AND(IFERROR(VALUE(I216),0)=0,ISNUMBER(J216),OR(J216&lt;226,ABS(IFERROR(VALUE(LEFT(M216,FIND("-",M216)-1)),M216))*100&lt;22600)),"Проверьте цену товара. Большинство товаров в выбранной категории стоят дороже 226",""))))),"")</f>
      </c>
    </row>
    <row r="217">
      <c r="A217" s="2" t="inlineStr">
        <is>
          <t>VitalEmb</t>
        </is>
      </c>
      <c r="B217" s="2" t="inlineStr">
        <is>
          <t>Декор для одежды</t>
        </is>
      </c>
      <c r="C217" s="2">
        <v>588939442</v>
      </c>
      <c r="D217" s="2" t="inlineStr">
        <is>
          <t>pzngol0009_pzol0007_222163</t>
        </is>
      </c>
      <c r="E217" s="2" t="inlineStr">
        <is>
          <t>2047010902779</t>
        </is>
      </c>
      <c r="F217" s="2">
        <v>7</v>
      </c>
      <c r="G217" s="2">
        <v>0</v>
      </c>
      <c r="H217" s="2">
        <v>216</v>
      </c>
      <c r="I217" s="2" t="inlineStr">
        <is>
          <t>1100</t>
        </is>
      </c>
      <c r="J217" s="4"/>
      <c r="K217" s="2">
        <v>60</v>
      </c>
      <c r="L217" s="6"/>
      <c r="M217" s="2" t="str">
        <f>IF(J217="",ROUND(I217*(1-IF(ISBLANK(L217),K217,L217)/100),2),ROUND(J217*(1-IF(ISBLANK(L217),K217,L217)/100),2))</f>
      </c>
      <c r="N217" s="7" t="str">
        <f>IF(NOT(AND(J217="",L217="")),IF(OR(AND(L217&lt;&gt;"",NOT(ISNUMBER(L217))),IFERROR(MOD(L217,1),1)&gt;0,AND(ISNUMBER(L217),OR(L217&lt;0,L217&gt;95))),"Введите целое число от 0 до 95",IF(OR(AND(J217&lt;&gt;"",NOT(ISNUMBER(J217))),IFERROR(MOD(J217,1),1)&gt;0,AND(ISNUMBER(J217),OR(J217&lt;50,J217&gt;20000000))),"Введите целое число от 50 до 20000000",IF(NOT(ABS(IFERROR(VALUE(LEFT(M217,FIND("-",M217)-1)),M217)*100-(2500+2000000000)/2)&lt;=ABS(2500-2000000000)/2),"Цена со скидкой должна быть от 25 до 20000000",IF(IFERROR(VALUE(LEFT(M217,FIND("-",M217)-1)),M217)*229&lt;44000,"Вы уменьшили цену в несколько раз, товар попадет в карантин цен",IF(AND(IFERROR(VALUE(I217),0)=0,ISNUMBER(J217),OR(J217&lt;226,ABS(IFERROR(VALUE(LEFT(M217,FIND("-",M217)-1)),M217))*100&lt;22600)),"Проверьте цену товара. Большинство товаров в выбранной категории стоят дороже 226",""))))),"")</f>
      </c>
    </row>
    <row r="218">
      <c r="A218" s="2" t="inlineStr">
        <is>
          <t>VitalEmb</t>
        </is>
      </c>
      <c r="B218" s="2" t="inlineStr">
        <is>
          <t>Декор для одежды</t>
        </is>
      </c>
      <c r="C218" s="2">
        <v>677345269</v>
      </c>
      <c r="D218" s="2" t="inlineStr">
        <is>
          <t>razpict0025</t>
        </is>
      </c>
      <c r="E218" s="2" t="inlineStr">
        <is>
          <t>2047656065739</t>
        </is>
      </c>
      <c r="F218" s="2">
        <v>18</v>
      </c>
      <c r="G218" s="2">
        <v>0</v>
      </c>
      <c r="H218" s="2">
        <v>999</v>
      </c>
      <c r="I218" s="2" t="inlineStr">
        <is>
          <t>1100</t>
        </is>
      </c>
      <c r="J218" s="4"/>
      <c r="K218" s="2">
        <v>58</v>
      </c>
      <c r="L218" s="6"/>
      <c r="M218" s="2" t="str">
        <f>IF(J218="",ROUND(I218*(1-IF(ISBLANK(L218),K218,L218)/100),2),ROUND(J218*(1-IF(ISBLANK(L218),K218,L218)/100),2))</f>
      </c>
      <c r="N218" s="7" t="str">
        <f>IF(NOT(AND(J218="",L218="")),IF(OR(AND(L218&lt;&gt;"",NOT(ISNUMBER(L218))),IFERROR(MOD(L218,1),1)&gt;0,AND(ISNUMBER(L218),OR(L218&lt;0,L218&gt;95))),"Введите целое число от 0 до 95",IF(OR(AND(J218&lt;&gt;"",NOT(ISNUMBER(J218))),IFERROR(MOD(J218,1),1)&gt;0,AND(ISNUMBER(J218),OR(J218&lt;50,J218&gt;20000000))),"Введите целое число от 50 до 20000000",IF(NOT(ABS(IFERROR(VALUE(LEFT(M218,FIND("-",M218)-1)),M218)*100-(2500+2000000000)/2)&lt;=ABS(2500-2000000000)/2),"Цена со скидкой должна быть от 25 до 20000000",IF(IFERROR(VALUE(LEFT(M218,FIND("-",M218)-1)),M218)*229&lt;46200,"Вы уменьшили цену в несколько раз, товар попадет в карантин цен",IF(AND(IFERROR(VALUE(I218),0)=0,ISNUMBER(J218),OR(J218&lt;226,ABS(IFERROR(VALUE(LEFT(M218,FIND("-",M218)-1)),M218))*100&lt;22600)),"Проверьте цену товара. Большинство товаров в выбранной категории стоят дороже 226",""))))),"")</f>
      </c>
    </row>
    <row r="219">
      <c r="A219" s="2" t="inlineStr">
        <is>
          <t>VitalEmb</t>
        </is>
      </c>
      <c r="B219" s="2" t="inlineStr">
        <is>
          <t>Декор для одежды</t>
        </is>
      </c>
      <c r="C219" s="2">
        <v>686550984</v>
      </c>
      <c r="D219" s="2" t="inlineStr">
        <is>
          <t>razpict0032</t>
        </is>
      </c>
      <c r="E219" s="2" t="inlineStr">
        <is>
          <t>2047729281738</t>
        </is>
      </c>
      <c r="F219" s="2">
        <v>20</v>
      </c>
      <c r="G219" s="2">
        <v>0</v>
      </c>
      <c r="H219" s="2">
        <v>999</v>
      </c>
      <c r="I219" s="2" t="inlineStr">
        <is>
          <t>1100</t>
        </is>
      </c>
      <c r="J219" s="4"/>
      <c r="K219" s="2">
        <v>56</v>
      </c>
      <c r="L219" s="6"/>
      <c r="M219" s="2" t="str">
        <f>IF(J219="",ROUND(I219*(1-IF(ISBLANK(L219),K219,L219)/100),2),ROUND(J219*(1-IF(ISBLANK(L219),K219,L219)/100),2))</f>
      </c>
      <c r="N219" s="7" t="str">
        <f>IF(NOT(AND(J219="",L219="")),IF(OR(AND(L219&lt;&gt;"",NOT(ISNUMBER(L219))),IFERROR(MOD(L219,1),1)&gt;0,AND(ISNUMBER(L219),OR(L219&lt;0,L219&gt;95))),"Введите целое число от 0 до 95",IF(OR(AND(J219&lt;&gt;"",NOT(ISNUMBER(J219))),IFERROR(MOD(J219,1),1)&gt;0,AND(ISNUMBER(J219),OR(J219&lt;50,J219&gt;20000000))),"Введите целое число от 50 до 20000000",IF(NOT(ABS(IFERROR(VALUE(LEFT(M219,FIND("-",M219)-1)),M219)*100-(2500+2000000000)/2)&lt;=ABS(2500-2000000000)/2),"Цена со скидкой должна быть от 25 до 20000000",IF(IFERROR(VALUE(LEFT(M219,FIND("-",M219)-1)),M219)*229&lt;48399,"Вы уменьшили цену в несколько раз, товар попадет в карантин цен",IF(AND(IFERROR(VALUE(I219),0)=0,ISNUMBER(J219),OR(J219&lt;226,ABS(IFERROR(VALUE(LEFT(M219,FIND("-",M219)-1)),M219))*100&lt;22600)),"Проверьте цену товара. Большинство товаров в выбранной категории стоят дороже 226",""))))),"")</f>
      </c>
    </row>
    <row r="220">
      <c r="A220" s="2" t="inlineStr">
        <is>
          <t/>
        </is>
      </c>
      <c r="B220" s="2" t="inlineStr">
        <is>
          <t>Сумки</t>
        </is>
      </c>
      <c r="C220" s="2">
        <v>476386773</v>
      </c>
      <c r="D220" s="2" t="inlineStr">
        <is>
          <t>111064</t>
        </is>
      </c>
      <c r="E220" s="2" t="inlineStr">
        <is>
          <t>2045004816057</t>
        </is>
      </c>
      <c r="F220" s="2">
        <v>0</v>
      </c>
      <c r="G220" s="2">
        <v>0</v>
      </c>
      <c r="H220" s="2" t="inlineStr">
        <is>
          <t/>
        </is>
      </c>
      <c r="I220" s="2" t="inlineStr">
        <is>
          <t>2600</t>
        </is>
      </c>
      <c r="J220" s="4"/>
      <c r="K220" s="2">
        <v>55</v>
      </c>
      <c r="L220" s="6"/>
      <c r="M220" s="2" t="str">
        <f>IF(J220="",ROUND(I220*(1-IF(ISBLANK(L220),K220,L220)/100),2),ROUND(J220*(1-IF(ISBLANK(L220),K220,L220)/100),2))</f>
      </c>
      <c r="N220" s="7" t="str">
        <f>IF(NOT(AND(J220="",L220="")),IF(OR(AND(L220&lt;&gt;"",NOT(ISNUMBER(L220))),IFERROR(MOD(L220,1),1)&gt;0,AND(ISNUMBER(L220),OR(L220&lt;0,L220&gt;95))),"Введите целое число от 0 до 95",IF(OR(AND(J220&lt;&gt;"",NOT(ISNUMBER(J220))),IFERROR(MOD(J220,1),1)&gt;0,AND(ISNUMBER(J220),OR(J220&lt;50,J220&gt;20000000))),"Введите целое число от 50 до 20000000",IF(NOT(ABS(IFERROR(VALUE(LEFT(M220,FIND("-",M220)-1)),M220)*100-(2500+2000000000)/2)&lt;=ABS(2500-2000000000)/2),"Цена со скидкой должна быть от 25 до 20000000",IF(IFERROR(VALUE(LEFT(M220,FIND("-",M220)-1)),M220)*229&lt;116999,"Вы уменьшили цену в несколько раз, товар попадет в карантин цен",IF(AND(IFERROR(VALUE(I220),0)=0,ISNUMBER(J220),OR(J220&lt;373,ABS(IFERROR(VALUE(LEFT(M220,FIND("-",M220)-1)),M220))*100&lt;37300)),"Проверьте цену товара. Большинство товаров в выбранной категории стоят дороже 373",""))))),"")</f>
      </c>
    </row>
    <row r="221">
      <c r="A221" s="2" t="inlineStr">
        <is>
          <t>VitalEmb</t>
        </is>
      </c>
      <c r="B221" s="2" t="inlineStr">
        <is>
          <t>Декор для одежды</t>
        </is>
      </c>
      <c r="C221" s="2">
        <v>679459445</v>
      </c>
      <c r="D221" s="2" t="inlineStr">
        <is>
          <t>razpict0022</t>
        </is>
      </c>
      <c r="E221" s="2" t="inlineStr">
        <is>
          <t>2047675509412</t>
        </is>
      </c>
      <c r="F221" s="2">
        <v>15</v>
      </c>
      <c r="G221" s="2">
        <v>0</v>
      </c>
      <c r="H221" s="2">
        <v>999</v>
      </c>
      <c r="I221" s="2" t="inlineStr">
        <is>
          <t>1100</t>
        </is>
      </c>
      <c r="J221" s="4"/>
      <c r="K221" s="2">
        <v>57</v>
      </c>
      <c r="L221" s="6"/>
      <c r="M221" s="2" t="str">
        <f>IF(J221="",ROUND(I221*(1-IF(ISBLANK(L221),K221,L221)/100),2),ROUND(J221*(1-IF(ISBLANK(L221),K221,L221)/100),2))</f>
      </c>
      <c r="N221" s="7" t="str">
        <f>IF(NOT(AND(J221="",L221="")),IF(OR(AND(L221&lt;&gt;"",NOT(ISNUMBER(L221))),IFERROR(MOD(L221,1),1)&gt;0,AND(ISNUMBER(L221),OR(L221&lt;0,L221&gt;95))),"Введите целое число от 0 до 95",IF(OR(AND(J221&lt;&gt;"",NOT(ISNUMBER(J221))),IFERROR(MOD(J221,1),1)&gt;0,AND(ISNUMBER(J221),OR(J221&lt;50,J221&gt;20000000))),"Введите целое число от 50 до 20000000",IF(NOT(ABS(IFERROR(VALUE(LEFT(M221,FIND("-",M221)-1)),M221)*100-(2500+2000000000)/2)&lt;=ABS(2500-2000000000)/2),"Цена со скидкой должна быть от 25 до 20000000",IF(IFERROR(VALUE(LEFT(M221,FIND("-",M221)-1)),M221)*229&lt;47300,"Вы уменьшили цену в несколько раз, товар попадет в карантин цен",IF(AND(IFERROR(VALUE(I221),0)=0,ISNUMBER(J221),OR(J221&lt;226,ABS(IFERROR(VALUE(LEFT(M221,FIND("-",M221)-1)),M221))*100&lt;22600)),"Проверьте цену товара. Большинство товаров в выбранной категории стоят дороже 226",""))))),"")</f>
      </c>
    </row>
    <row r="222">
      <c r="A222" s="2" t="inlineStr">
        <is>
          <t>VitalEmb</t>
        </is>
      </c>
      <c r="B222" s="2" t="inlineStr">
        <is>
          <t>Декор для одежды</t>
        </is>
      </c>
      <c r="C222" s="2">
        <v>600321436</v>
      </c>
      <c r="D222" s="2" t="inlineStr">
        <is>
          <t>vsrfform0003_222798</t>
        </is>
      </c>
      <c r="E222" s="2" t="inlineStr">
        <is>
          <t>2047124244307</t>
        </is>
      </c>
      <c r="F222" s="2">
        <v>10</v>
      </c>
      <c r="G222" s="2">
        <v>0</v>
      </c>
      <c r="H222" s="2" t="inlineStr">
        <is>
          <t/>
        </is>
      </c>
      <c r="I222" s="2" t="inlineStr">
        <is>
          <t>1100</t>
        </is>
      </c>
      <c r="J222" s="4"/>
      <c r="K222" s="2">
        <v>55</v>
      </c>
      <c r="L222" s="6"/>
      <c r="M222" s="2" t="str">
        <f>IF(J222="",ROUND(I222*(1-IF(ISBLANK(L222),K222,L222)/100),2),ROUND(J222*(1-IF(ISBLANK(L222),K222,L222)/100),2))</f>
      </c>
      <c r="N222" s="7" t="str">
        <f>IF(NOT(AND(J222="",L222="")),IF(OR(AND(L222&lt;&gt;"",NOT(ISNUMBER(L222))),IFERROR(MOD(L222,1),1)&gt;0,AND(ISNUMBER(L222),OR(L222&lt;0,L222&gt;95))),"Введите целое число от 0 до 95",IF(OR(AND(J222&lt;&gt;"",NOT(ISNUMBER(J222))),IFERROR(MOD(J222,1),1)&gt;0,AND(ISNUMBER(J222),OR(J222&lt;50,J222&gt;20000000))),"Введите целое число от 50 до 20000000",IF(NOT(ABS(IFERROR(VALUE(LEFT(M222,FIND("-",M222)-1)),M222)*100-(2500+2000000000)/2)&lt;=ABS(2500-2000000000)/2),"Цена со скидкой должна быть от 25 до 20000000",IF(IFERROR(VALUE(LEFT(M222,FIND("-",M222)-1)),M222)*229&lt;49499,"Вы уменьшили цену в несколько раз, товар попадет в карантин цен",IF(AND(IFERROR(VALUE(I222),0)=0,ISNUMBER(J222),OR(J222&lt;226,ABS(IFERROR(VALUE(LEFT(M222,FIND("-",M222)-1)),M222))*100&lt;22600)),"Проверьте цену товара. Большинство товаров в выбранной категории стоят дороже 226",""))))),"")</f>
      </c>
    </row>
    <row r="223">
      <c r="A223" s="2" t="inlineStr">
        <is>
          <t>VitalEmb</t>
        </is>
      </c>
      <c r="B223" s="2" t="inlineStr">
        <is>
          <t>Декор для одежды</t>
        </is>
      </c>
      <c r="C223" s="2">
        <v>605078480</v>
      </c>
      <c r="D223" s="2" t="inlineStr">
        <is>
          <t>razpict0011_pict0149</t>
        </is>
      </c>
      <c r="E223" s="2" t="inlineStr">
        <is>
          <t>2047170350519</t>
        </is>
      </c>
      <c r="F223" s="2">
        <v>15</v>
      </c>
      <c r="G223" s="2">
        <v>0</v>
      </c>
      <c r="H223" s="2">
        <v>456</v>
      </c>
      <c r="I223" s="2" t="inlineStr">
        <is>
          <t>1100</t>
        </is>
      </c>
      <c r="J223" s="4"/>
      <c r="K223" s="2">
        <v>65</v>
      </c>
      <c r="L223" s="6"/>
      <c r="M223" s="2" t="str">
        <f>IF(J223="",ROUND(I223*(1-IF(ISBLANK(L223),K223,L223)/100),2),ROUND(J223*(1-IF(ISBLANK(L223),K223,L223)/100),2))</f>
      </c>
      <c r="N223" s="7" t="str">
        <f>IF(NOT(AND(J223="",L223="")),IF(OR(AND(L223&lt;&gt;"",NOT(ISNUMBER(L223))),IFERROR(MOD(L223,1),1)&gt;0,AND(ISNUMBER(L223),OR(L223&lt;0,L223&gt;95))),"Введите целое число от 0 до 95",IF(OR(AND(J223&lt;&gt;"",NOT(ISNUMBER(J223))),IFERROR(MOD(J223,1),1)&gt;0,AND(ISNUMBER(J223),OR(J223&lt;50,J223&gt;20000000))),"Введите целое число от 50 до 20000000",IF(NOT(ABS(IFERROR(VALUE(LEFT(M223,FIND("-",M223)-1)),M223)*100-(2500+2000000000)/2)&lt;=ABS(2500-2000000000)/2),"Цена со скидкой должна быть от 25 до 20000000",IF(IFERROR(VALUE(LEFT(M223,FIND("-",M223)-1)),M223)*229&lt;38500,"Вы уменьшили цену в несколько раз, товар попадет в карантин цен",IF(AND(IFERROR(VALUE(I223),0)=0,ISNUMBER(J223),OR(J223&lt;226,ABS(IFERROR(VALUE(LEFT(M223,FIND("-",M223)-1)),M223))*100&lt;22600)),"Проверьте цену товара. Большинство товаров в выбранной категории стоят дороже 226",""))))),"")</f>
      </c>
    </row>
    <row r="224">
      <c r="A224" s="2" t="inlineStr">
        <is>
          <t>VitalEmb</t>
        </is>
      </c>
      <c r="B224" s="2" t="inlineStr">
        <is>
          <t>Декор для одежды</t>
        </is>
      </c>
      <c r="C224" s="2">
        <v>618432564</v>
      </c>
      <c r="D224" s="2" t="inlineStr">
        <is>
          <t>razpict0016</t>
        </is>
      </c>
      <c r="E224" s="2" t="inlineStr">
        <is>
          <t>2047309233799</t>
        </is>
      </c>
      <c r="F224" s="2">
        <v>27</v>
      </c>
      <c r="G224" s="2">
        <v>0</v>
      </c>
      <c r="H224" s="2">
        <v>999</v>
      </c>
      <c r="I224" s="2" t="inlineStr">
        <is>
          <t>1100</t>
        </is>
      </c>
      <c r="J224" s="4"/>
      <c r="K224" s="2">
        <v>60</v>
      </c>
      <c r="L224" s="6"/>
      <c r="M224" s="2" t="str">
        <f>IF(J224="",ROUND(I224*(1-IF(ISBLANK(L224),K224,L224)/100),2),ROUND(J224*(1-IF(ISBLANK(L224),K224,L224)/100),2))</f>
      </c>
      <c r="N224" s="7" t="str">
        <f>IF(NOT(AND(J224="",L224="")),IF(OR(AND(L224&lt;&gt;"",NOT(ISNUMBER(L224))),IFERROR(MOD(L224,1),1)&gt;0,AND(ISNUMBER(L224),OR(L224&lt;0,L224&gt;95))),"Введите целое число от 0 до 95",IF(OR(AND(J224&lt;&gt;"",NOT(ISNUMBER(J224))),IFERROR(MOD(J224,1),1)&gt;0,AND(ISNUMBER(J224),OR(J224&lt;50,J224&gt;20000000))),"Введите целое число от 50 до 20000000",IF(NOT(ABS(IFERROR(VALUE(LEFT(M224,FIND("-",M224)-1)),M224)*100-(2500+2000000000)/2)&lt;=ABS(2500-2000000000)/2),"Цена со скидкой должна быть от 25 до 20000000",IF(IFERROR(VALUE(LEFT(M224,FIND("-",M224)-1)),M224)*229&lt;44000,"Вы уменьшили цену в несколько раз, товар попадет в карантин цен",IF(AND(IFERROR(VALUE(I224),0)=0,ISNUMBER(J224),OR(J224&lt;226,ABS(IFERROR(VALUE(LEFT(M224,FIND("-",M224)-1)),M224))*100&lt;22600)),"Проверьте цену товара. Большинство товаров в выбранной категории стоят дороже 226",""))))),"")</f>
      </c>
    </row>
    <row r="225">
      <c r="A225" s="2" t="inlineStr">
        <is>
          <t>VitalEmb</t>
        </is>
      </c>
      <c r="B225" s="2" t="inlineStr">
        <is>
          <t>Декор для одежды</t>
        </is>
      </c>
      <c r="C225" s="2">
        <v>593355964</v>
      </c>
      <c r="D225" s="2" t="inlineStr">
        <is>
          <t>pzkit2mh0017_pzmh0048</t>
        </is>
      </c>
      <c r="E225" s="2" t="inlineStr">
        <is>
          <t>2047049864734</t>
        </is>
      </c>
      <c r="F225" s="2">
        <v>9</v>
      </c>
      <c r="G225" s="2">
        <v>0</v>
      </c>
      <c r="H225" s="2">
        <v>47</v>
      </c>
      <c r="I225" s="2" t="inlineStr">
        <is>
          <t>2000</t>
        </is>
      </c>
      <c r="J225" s="4"/>
      <c r="K225" s="2">
        <v>65</v>
      </c>
      <c r="L225" s="6"/>
      <c r="M225" s="2" t="str">
        <f>IF(J225="",ROUND(I225*(1-IF(ISBLANK(L225),K225,L225)/100),2),ROUND(J225*(1-IF(ISBLANK(L225),K225,L225)/100),2))</f>
      </c>
      <c r="N225" s="7" t="str">
        <f>IF(NOT(AND(J225="",L225="")),IF(OR(AND(L225&lt;&gt;"",NOT(ISNUMBER(L225))),IFERROR(MOD(L225,1),1)&gt;0,AND(ISNUMBER(L225),OR(L225&lt;0,L225&gt;95))),"Введите целое число от 0 до 95",IF(OR(AND(J225&lt;&gt;"",NOT(ISNUMBER(J225))),IFERROR(MOD(J225,1),1)&gt;0,AND(ISNUMBER(J225),OR(J225&lt;50,J225&gt;20000000))),"Введите целое число от 50 до 20000000",IF(NOT(ABS(IFERROR(VALUE(LEFT(M225,FIND("-",M225)-1)),M225)*100-(2500+2000000000)/2)&lt;=ABS(2500-2000000000)/2),"Цена со скидкой должна быть от 25 до 20000000",IF(IFERROR(VALUE(LEFT(M225,FIND("-",M225)-1)),M225)*229&lt;70000,"Вы уменьшили цену в несколько раз, товар попадет в карантин цен",IF(AND(IFERROR(VALUE(I225),0)=0,ISNUMBER(J225),OR(J225&lt;226,ABS(IFERROR(VALUE(LEFT(M225,FIND("-",M225)-1)),M225))*100&lt;22600)),"Проверьте цену товара. Большинство товаров в выбранной категории стоят дороже 226",""))))),"")</f>
      </c>
    </row>
    <row r="226">
      <c r="A226" s="2" t="inlineStr">
        <is>
          <t>VitalEmb</t>
        </is>
      </c>
      <c r="B226" s="2" t="inlineStr">
        <is>
          <t>Декор для одежды</t>
        </is>
      </c>
      <c r="C226" s="2">
        <v>593364062</v>
      </c>
      <c r="D226" s="2" t="inlineStr">
        <is>
          <t>pzkit2mh0021_pzmh0026</t>
        </is>
      </c>
      <c r="E226" s="2" t="inlineStr">
        <is>
          <t>2047049946508</t>
        </is>
      </c>
      <c r="F226" s="2">
        <v>13</v>
      </c>
      <c r="G226" s="2">
        <v>0</v>
      </c>
      <c r="H226" s="2">
        <v>197</v>
      </c>
      <c r="I226" s="2" t="inlineStr">
        <is>
          <t>2000</t>
        </is>
      </c>
      <c r="J226" s="4"/>
      <c r="K226" s="2">
        <v>65</v>
      </c>
      <c r="L226" s="6"/>
      <c r="M226" s="2" t="str">
        <f>IF(J226="",ROUND(I226*(1-IF(ISBLANK(L226),K226,L226)/100),2),ROUND(J226*(1-IF(ISBLANK(L226),K226,L226)/100),2))</f>
      </c>
      <c r="N226" s="7" t="str">
        <f>IF(NOT(AND(J226="",L226="")),IF(OR(AND(L226&lt;&gt;"",NOT(ISNUMBER(L226))),IFERROR(MOD(L226,1),1)&gt;0,AND(ISNUMBER(L226),OR(L226&lt;0,L226&gt;95))),"Введите целое число от 0 до 95",IF(OR(AND(J226&lt;&gt;"",NOT(ISNUMBER(J226))),IFERROR(MOD(J226,1),1)&gt;0,AND(ISNUMBER(J226),OR(J226&lt;50,J226&gt;20000000))),"Введите целое число от 50 до 20000000",IF(NOT(ABS(IFERROR(VALUE(LEFT(M226,FIND("-",M226)-1)),M226)*100-(2500+2000000000)/2)&lt;=ABS(2500-2000000000)/2),"Цена со скидкой должна быть от 25 до 20000000",IF(IFERROR(VALUE(LEFT(M226,FIND("-",M226)-1)),M226)*229&lt;70000,"Вы уменьшили цену в несколько раз, товар попадет в карантин цен",IF(AND(IFERROR(VALUE(I226),0)=0,ISNUMBER(J226),OR(J226&lt;226,ABS(IFERROR(VALUE(LEFT(M226,FIND("-",M226)-1)),M226))*100&lt;22600)),"Проверьте цену товара. Большинство товаров в выбранной категории стоят дороже 226",""))))),"")</f>
      </c>
    </row>
    <row r="227">
      <c r="A227" s="2" t="inlineStr">
        <is>
          <t>VitalEmb</t>
        </is>
      </c>
      <c r="B227" s="2" t="inlineStr">
        <is>
          <t>Декор для одежды</t>
        </is>
      </c>
      <c r="C227" s="2">
        <v>595799760</v>
      </c>
      <c r="D227" s="2" t="inlineStr">
        <is>
          <t>bplapict0003_222748</t>
        </is>
      </c>
      <c r="E227" s="2" t="inlineStr">
        <is>
          <t>2047075766002</t>
        </is>
      </c>
      <c r="F227" s="2">
        <v>10</v>
      </c>
      <c r="G227" s="2">
        <v>0</v>
      </c>
      <c r="H227" s="2">
        <v>74</v>
      </c>
      <c r="I227" s="2" t="inlineStr">
        <is>
          <t>1100</t>
        </is>
      </c>
      <c r="J227" s="4"/>
      <c r="K227" s="2">
        <v>63</v>
      </c>
      <c r="L227" s="6"/>
      <c r="M227" s="2" t="str">
        <f>IF(J227="",ROUND(I227*(1-IF(ISBLANK(L227),K227,L227)/100),2),ROUND(J227*(1-IF(ISBLANK(L227),K227,L227)/100),2))</f>
      </c>
      <c r="N227" s="7" t="str">
        <f>IF(NOT(AND(J227="",L227="")),IF(OR(AND(L227&lt;&gt;"",NOT(ISNUMBER(L227))),IFERROR(MOD(L227,1),1)&gt;0,AND(ISNUMBER(L227),OR(L227&lt;0,L227&gt;95))),"Введите целое число от 0 до 95",IF(OR(AND(J227&lt;&gt;"",NOT(ISNUMBER(J227))),IFERROR(MOD(J227,1),1)&gt;0,AND(ISNUMBER(J227),OR(J227&lt;50,J227&gt;20000000))),"Введите целое число от 50 до 20000000",IF(NOT(ABS(IFERROR(VALUE(LEFT(M227,FIND("-",M227)-1)),M227)*100-(2500+2000000000)/2)&lt;=ABS(2500-2000000000)/2),"Цена со скидкой должна быть от 25 до 20000000",IF(IFERROR(VALUE(LEFT(M227,FIND("-",M227)-1)),M227)*229&lt;40700,"Вы уменьшили цену в несколько раз, товар попадет в карантин цен",IF(AND(IFERROR(VALUE(I227),0)=0,ISNUMBER(J227),OR(J227&lt;226,ABS(IFERROR(VALUE(LEFT(M227,FIND("-",M227)-1)),M227))*100&lt;22600)),"Проверьте цену товара. Большинство товаров в выбранной категории стоят дороже 226",""))))),"")</f>
      </c>
    </row>
    <row r="228">
      <c r="A228" s="2" t="inlineStr">
        <is>
          <t>VitalEmb</t>
        </is>
      </c>
      <c r="B228" s="2" t="inlineStr">
        <is>
          <t>Декор для одежды</t>
        </is>
      </c>
      <c r="C228" s="2">
        <v>682610598</v>
      </c>
      <c r="D228" s="2" t="inlineStr">
        <is>
          <t>razpict0029</t>
        </is>
      </c>
      <c r="E228" s="2" t="inlineStr">
        <is>
          <t>2047700590118</t>
        </is>
      </c>
      <c r="F228" s="2">
        <v>23</v>
      </c>
      <c r="G228" s="2">
        <v>0</v>
      </c>
      <c r="H228" s="2">
        <v>999</v>
      </c>
      <c r="I228" s="2" t="inlineStr">
        <is>
          <t>1100</t>
        </is>
      </c>
      <c r="J228" s="4"/>
      <c r="K228" s="2">
        <v>57</v>
      </c>
      <c r="L228" s="6"/>
      <c r="M228" s="2" t="str">
        <f>IF(J228="",ROUND(I228*(1-IF(ISBLANK(L228),K228,L228)/100),2),ROUND(J228*(1-IF(ISBLANK(L228),K228,L228)/100),2))</f>
      </c>
      <c r="N228" s="7" t="str">
        <f>IF(NOT(AND(J228="",L228="")),IF(OR(AND(L228&lt;&gt;"",NOT(ISNUMBER(L228))),IFERROR(MOD(L228,1),1)&gt;0,AND(ISNUMBER(L228),OR(L228&lt;0,L228&gt;95))),"Введите целое число от 0 до 95",IF(OR(AND(J228&lt;&gt;"",NOT(ISNUMBER(J228))),IFERROR(MOD(J228,1),1)&gt;0,AND(ISNUMBER(J228),OR(J228&lt;50,J228&gt;20000000))),"Введите целое число от 50 до 20000000",IF(NOT(ABS(IFERROR(VALUE(LEFT(M228,FIND("-",M228)-1)),M228)*100-(2500+2000000000)/2)&lt;=ABS(2500-2000000000)/2),"Цена со скидкой должна быть от 25 до 20000000",IF(IFERROR(VALUE(LEFT(M228,FIND("-",M228)-1)),M228)*229&lt;47300,"Вы уменьшили цену в несколько раз, товар попадет в карантин цен",IF(AND(IFERROR(VALUE(I228),0)=0,ISNUMBER(J228),OR(J228&lt;226,ABS(IFERROR(VALUE(LEFT(M228,FIND("-",M228)-1)),M228))*100&lt;22600)),"Проверьте цену товара. Большинство товаров в выбранной категории стоят дороже 226",""))))),"")</f>
      </c>
    </row>
    <row r="229">
      <c r="A229" s="2" t="inlineStr">
        <is>
          <t>VitalEmb</t>
        </is>
      </c>
      <c r="B229" s="2" t="inlineStr">
        <is>
          <t>Декор для одежды</t>
        </is>
      </c>
      <c r="C229" s="2">
        <v>662712547</v>
      </c>
      <c r="D229" s="2" t="inlineStr">
        <is>
          <t>razpict0021</t>
        </is>
      </c>
      <c r="E229" s="2" t="inlineStr">
        <is>
          <t>2047550371943</t>
        </is>
      </c>
      <c r="F229" s="2">
        <v>20</v>
      </c>
      <c r="G229" s="2">
        <v>0</v>
      </c>
      <c r="H229" s="2">
        <v>999</v>
      </c>
      <c r="I229" s="2" t="inlineStr">
        <is>
          <t>1100</t>
        </is>
      </c>
      <c r="J229" s="4"/>
      <c r="K229" s="2">
        <v>57</v>
      </c>
      <c r="L229" s="6"/>
      <c r="M229" s="2" t="str">
        <f>IF(J229="",ROUND(I229*(1-IF(ISBLANK(L229),K229,L229)/100),2),ROUND(J229*(1-IF(ISBLANK(L229),K229,L229)/100),2))</f>
      </c>
      <c r="N229" s="7" t="str">
        <f>IF(NOT(AND(J229="",L229="")),IF(OR(AND(L229&lt;&gt;"",NOT(ISNUMBER(L229))),IFERROR(MOD(L229,1),1)&gt;0,AND(ISNUMBER(L229),OR(L229&lt;0,L229&gt;95))),"Введите целое число от 0 до 95",IF(OR(AND(J229&lt;&gt;"",NOT(ISNUMBER(J229))),IFERROR(MOD(J229,1),1)&gt;0,AND(ISNUMBER(J229),OR(J229&lt;50,J229&gt;20000000))),"Введите целое число от 50 до 20000000",IF(NOT(ABS(IFERROR(VALUE(LEFT(M229,FIND("-",M229)-1)),M229)*100-(2500+2000000000)/2)&lt;=ABS(2500-2000000000)/2),"Цена со скидкой должна быть от 25 до 20000000",IF(IFERROR(VALUE(LEFT(M229,FIND("-",M229)-1)),M229)*229&lt;47300,"Вы уменьшили цену в несколько раз, товар попадет в карантин цен",IF(AND(IFERROR(VALUE(I229),0)=0,ISNUMBER(J229),OR(J229&lt;226,ABS(IFERROR(VALUE(LEFT(M229,FIND("-",M229)-1)),M229))*100&lt;22600)),"Проверьте цену товара. Большинство товаров в выбранной категории стоят дороже 226",""))))),"")</f>
      </c>
    </row>
    <row r="230">
      <c r="A230" s="2" t="inlineStr">
        <is>
          <t>VitalEmb</t>
        </is>
      </c>
      <c r="B230" s="2" t="inlineStr">
        <is>
          <t>Декор для одежды</t>
        </is>
      </c>
      <c r="C230" s="2">
        <v>593270984</v>
      </c>
      <c r="D230" s="2" t="inlineStr">
        <is>
          <t>bplapict0012_pict0071_223217</t>
        </is>
      </c>
      <c r="E230" s="2" t="inlineStr">
        <is>
          <t>2047048759185</t>
        </is>
      </c>
      <c r="F230" s="2">
        <v>13</v>
      </c>
      <c r="G230" s="2">
        <v>0</v>
      </c>
      <c r="H230" s="2">
        <v>17</v>
      </c>
      <c r="I230" s="2" t="inlineStr">
        <is>
          <t>1100</t>
        </is>
      </c>
      <c r="J230" s="4"/>
      <c r="K230" s="2">
        <v>60</v>
      </c>
      <c r="L230" s="6"/>
      <c r="M230" s="2" t="str">
        <f>IF(J230="",ROUND(I230*(1-IF(ISBLANK(L230),K230,L230)/100),2),ROUND(J230*(1-IF(ISBLANK(L230),K230,L230)/100),2))</f>
      </c>
      <c r="N230" s="7" t="str">
        <f>IF(NOT(AND(J230="",L230="")),IF(OR(AND(L230&lt;&gt;"",NOT(ISNUMBER(L230))),IFERROR(MOD(L230,1),1)&gt;0,AND(ISNUMBER(L230),OR(L230&lt;0,L230&gt;95))),"Введите целое число от 0 до 95",IF(OR(AND(J230&lt;&gt;"",NOT(ISNUMBER(J230))),IFERROR(MOD(J230,1),1)&gt;0,AND(ISNUMBER(J230),OR(J230&lt;50,J230&gt;20000000))),"Введите целое число от 50 до 20000000",IF(NOT(ABS(IFERROR(VALUE(LEFT(M230,FIND("-",M230)-1)),M230)*100-(2500+2000000000)/2)&lt;=ABS(2500-2000000000)/2),"Цена со скидкой должна быть от 25 до 20000000",IF(IFERROR(VALUE(LEFT(M230,FIND("-",M230)-1)),M230)*229&lt;44000,"Вы уменьшили цену в несколько раз, товар попадет в карантин цен",IF(AND(IFERROR(VALUE(I230),0)=0,ISNUMBER(J230),OR(J230&lt;226,ABS(IFERROR(VALUE(LEFT(M230,FIND("-",M230)-1)),M230))*100&lt;22600)),"Проверьте цену товара. Большинство товаров в выбранной категории стоят дороже 226",""))))),"")</f>
      </c>
    </row>
    <row r="231">
      <c r="A231" s="2" t="inlineStr">
        <is>
          <t>VitalEmb</t>
        </is>
      </c>
      <c r="B231" s="2" t="inlineStr">
        <is>
          <t>Декор для одежды</t>
        </is>
      </c>
      <c r="C231" s="2">
        <v>677351148</v>
      </c>
      <c r="D231" s="2" t="inlineStr">
        <is>
          <t>razpict0027</t>
        </is>
      </c>
      <c r="E231" s="2" t="inlineStr">
        <is>
          <t>2047656266594</t>
        </is>
      </c>
      <c r="F231" s="2">
        <v>17</v>
      </c>
      <c r="G231" s="2">
        <v>0</v>
      </c>
      <c r="H231" s="2">
        <v>999</v>
      </c>
      <c r="I231" s="2" t="inlineStr">
        <is>
          <t>1100</t>
        </is>
      </c>
      <c r="J231" s="4"/>
      <c r="K231" s="2">
        <v>57</v>
      </c>
      <c r="L231" s="6"/>
      <c r="M231" s="2" t="str">
        <f>IF(J231="",ROUND(I231*(1-IF(ISBLANK(L231),K231,L231)/100),2),ROUND(J231*(1-IF(ISBLANK(L231),K231,L231)/100),2))</f>
      </c>
      <c r="N231" s="7" t="str">
        <f>IF(NOT(AND(J231="",L231="")),IF(OR(AND(L231&lt;&gt;"",NOT(ISNUMBER(L231))),IFERROR(MOD(L231,1),1)&gt;0,AND(ISNUMBER(L231),OR(L231&lt;0,L231&gt;95))),"Введите целое число от 0 до 95",IF(OR(AND(J231&lt;&gt;"",NOT(ISNUMBER(J231))),IFERROR(MOD(J231,1),1)&gt;0,AND(ISNUMBER(J231),OR(J231&lt;50,J231&gt;20000000))),"Введите целое число от 50 до 20000000",IF(NOT(ABS(IFERROR(VALUE(LEFT(M231,FIND("-",M231)-1)),M231)*100-(2500+2000000000)/2)&lt;=ABS(2500-2000000000)/2),"Цена со скидкой должна быть от 25 до 20000000",IF(IFERROR(VALUE(LEFT(M231,FIND("-",M231)-1)),M231)*229&lt;47300,"Вы уменьшили цену в несколько раз, товар попадет в карантин цен",IF(AND(IFERROR(VALUE(I231),0)=0,ISNUMBER(J231),OR(J231&lt;226,ABS(IFERROR(VALUE(LEFT(M231,FIND("-",M231)-1)),M231))*100&lt;22600)),"Проверьте цену товара. Большинство товаров в выбранной категории стоят дороже 226",""))))),"")</f>
      </c>
    </row>
    <row r="232">
      <c r="A232" s="2" t="inlineStr">
        <is>
          <t>VitalEmb</t>
        </is>
      </c>
      <c r="B232" s="2" t="inlineStr">
        <is>
          <t>Декор для одежды</t>
        </is>
      </c>
      <c r="C232" s="2">
        <v>603953640</v>
      </c>
      <c r="D232" s="2" t="inlineStr">
        <is>
          <t>mvdkit2nr0005</t>
        </is>
      </c>
      <c r="E232" s="2" t="inlineStr">
        <is>
          <t>2047150832011</t>
        </is>
      </c>
      <c r="F232" s="2">
        <v>18</v>
      </c>
      <c r="G232" s="2">
        <v>0</v>
      </c>
      <c r="H232" s="2">
        <v>999</v>
      </c>
      <c r="I232" s="2" t="inlineStr">
        <is>
          <t>2000</t>
        </is>
      </c>
      <c r="J232" s="4"/>
      <c r="K232" s="2">
        <v>63</v>
      </c>
      <c r="L232" s="6"/>
      <c r="M232" s="2" t="str">
        <f>IF(J232="",ROUND(I232*(1-IF(ISBLANK(L232),K232,L232)/100),2),ROUND(J232*(1-IF(ISBLANK(L232),K232,L232)/100),2))</f>
      </c>
      <c r="N232" s="7" t="str">
        <f>IF(NOT(AND(J232="",L232="")),IF(OR(AND(L232&lt;&gt;"",NOT(ISNUMBER(L232))),IFERROR(MOD(L232,1),1)&gt;0,AND(ISNUMBER(L232),OR(L232&lt;0,L232&gt;95))),"Введите целое число от 0 до 95",IF(OR(AND(J232&lt;&gt;"",NOT(ISNUMBER(J232))),IFERROR(MOD(J232,1),1)&gt;0,AND(ISNUMBER(J232),OR(J232&lt;50,J232&gt;20000000))),"Введите целое число от 50 до 20000000",IF(NOT(ABS(IFERROR(VALUE(LEFT(M232,FIND("-",M232)-1)),M232)*100-(2500+2000000000)/2)&lt;=ABS(2500-2000000000)/2),"Цена со скидкой должна быть от 25 до 20000000",IF(IFERROR(VALUE(LEFT(M232,FIND("-",M232)-1)),M232)*229&lt;74000,"Вы уменьшили цену в несколько раз, товар попадет в карантин цен",IF(AND(IFERROR(VALUE(I232),0)=0,ISNUMBER(J232),OR(J232&lt;226,ABS(IFERROR(VALUE(LEFT(M232,FIND("-",M232)-1)),M232))*100&lt;22600)),"Проверьте цену товара. Большинство товаров в выбранной категории стоят дороже 226",""))))),"")</f>
      </c>
    </row>
    <row r="233">
      <c r="A233" s="2" t="inlineStr">
        <is>
          <t>VitalEmb</t>
        </is>
      </c>
      <c r="B233" s="2" t="inlineStr">
        <is>
          <t>Декор для одежды</t>
        </is>
      </c>
      <c r="C233" s="2">
        <v>618428441</v>
      </c>
      <c r="D233" s="2" t="inlineStr">
        <is>
          <t>bplapict0017</t>
        </is>
      </c>
      <c r="E233" s="2" t="inlineStr">
        <is>
          <t>2047309158030</t>
        </is>
      </c>
      <c r="F233" s="2">
        <v>7</v>
      </c>
      <c r="G233" s="2">
        <v>0</v>
      </c>
      <c r="H233" s="2">
        <v>51</v>
      </c>
      <c r="I233" s="2" t="inlineStr">
        <is>
          <t>1100</t>
        </is>
      </c>
      <c r="J233" s="4"/>
      <c r="K233" s="2">
        <v>60</v>
      </c>
      <c r="L233" s="6"/>
      <c r="M233" s="2" t="str">
        <f>IF(J233="",ROUND(I233*(1-IF(ISBLANK(L233),K233,L233)/100),2),ROUND(J233*(1-IF(ISBLANK(L233),K233,L233)/100),2))</f>
      </c>
      <c r="N233" s="7" t="str">
        <f>IF(NOT(AND(J233="",L233="")),IF(OR(AND(L233&lt;&gt;"",NOT(ISNUMBER(L233))),IFERROR(MOD(L233,1),1)&gt;0,AND(ISNUMBER(L233),OR(L233&lt;0,L233&gt;95))),"Введите целое число от 0 до 95",IF(OR(AND(J233&lt;&gt;"",NOT(ISNUMBER(J233))),IFERROR(MOD(J233,1),1)&gt;0,AND(ISNUMBER(J233),OR(J233&lt;50,J233&gt;20000000))),"Введите целое число от 50 до 20000000",IF(NOT(ABS(IFERROR(VALUE(LEFT(M233,FIND("-",M233)-1)),M233)*100-(2500+2000000000)/2)&lt;=ABS(2500-2000000000)/2),"Цена со скидкой должна быть от 25 до 20000000",IF(IFERROR(VALUE(LEFT(M233,FIND("-",M233)-1)),M233)*229&lt;44000,"Вы уменьшили цену в несколько раз, товар попадет в карантин цен",IF(AND(IFERROR(VALUE(I233),0)=0,ISNUMBER(J233),OR(J233&lt;226,ABS(IFERROR(VALUE(LEFT(M233,FIND("-",M233)-1)),M233))*100&lt;22600)),"Проверьте цену товара. Большинство товаров в выбранной категории стоят дороже 226",""))))),"")</f>
      </c>
    </row>
    <row r="234">
      <c r="A234" s="2" t="inlineStr">
        <is>
          <t>VitalEmb</t>
        </is>
      </c>
      <c r="B234" s="2" t="inlineStr">
        <is>
          <t>Декор для одежды</t>
        </is>
      </c>
      <c r="C234" s="2">
        <v>595891645</v>
      </c>
      <c r="D234" s="2" t="inlineStr">
        <is>
          <t>bplapict0010_222858</t>
        </is>
      </c>
      <c r="E234" s="2" t="inlineStr">
        <is>
          <t>2047076162827</t>
        </is>
      </c>
      <c r="F234" s="2">
        <v>10</v>
      </c>
      <c r="G234" s="2">
        <v>0</v>
      </c>
      <c r="H234" s="2">
        <v>36</v>
      </c>
      <c r="I234" s="2" t="inlineStr">
        <is>
          <t>1100</t>
        </is>
      </c>
      <c r="J234" s="4"/>
      <c r="K234" s="2">
        <v>63</v>
      </c>
      <c r="L234" s="6"/>
      <c r="M234" s="2" t="str">
        <f>IF(J234="",ROUND(I234*(1-IF(ISBLANK(L234),K234,L234)/100),2),ROUND(J234*(1-IF(ISBLANK(L234),K234,L234)/100),2))</f>
      </c>
      <c r="N234" s="7" t="str">
        <f>IF(NOT(AND(J234="",L234="")),IF(OR(AND(L234&lt;&gt;"",NOT(ISNUMBER(L234))),IFERROR(MOD(L234,1),1)&gt;0,AND(ISNUMBER(L234),OR(L234&lt;0,L234&gt;95))),"Введите целое число от 0 до 95",IF(OR(AND(J234&lt;&gt;"",NOT(ISNUMBER(J234))),IFERROR(MOD(J234,1),1)&gt;0,AND(ISNUMBER(J234),OR(J234&lt;50,J234&gt;20000000))),"Введите целое число от 50 до 20000000",IF(NOT(ABS(IFERROR(VALUE(LEFT(M234,FIND("-",M234)-1)),M234)*100-(2500+2000000000)/2)&lt;=ABS(2500-2000000000)/2),"Цена со скидкой должна быть от 25 до 20000000",IF(IFERROR(VALUE(LEFT(M234,FIND("-",M234)-1)),M234)*229&lt;40700,"Вы уменьшили цену в несколько раз, товар попадет в карантин цен",IF(AND(IFERROR(VALUE(I234),0)=0,ISNUMBER(J234),OR(J234&lt;226,ABS(IFERROR(VALUE(LEFT(M234,FIND("-",M234)-1)),M234))*100&lt;22600)),"Проверьте цену товара. Большинство товаров в выбранной категории стоят дороже 226",""))))),"")</f>
      </c>
    </row>
    <row r="235">
      <c r="A235" s="2" t="inlineStr">
        <is>
          <t>VitalEmb</t>
        </is>
      </c>
      <c r="B235" s="2" t="inlineStr">
        <is>
          <t>Декор для одежды</t>
        </is>
      </c>
      <c r="C235" s="2">
        <v>683131617</v>
      </c>
      <c r="D235" s="2" t="inlineStr">
        <is>
          <t>mvdkit40003</t>
        </is>
      </c>
      <c r="E235" s="2" t="inlineStr">
        <is>
          <t>2047704052582</t>
        </is>
      </c>
      <c r="F235" s="2">
        <v>15</v>
      </c>
      <c r="G235" s="2">
        <v>0</v>
      </c>
      <c r="H235" s="2">
        <v>999</v>
      </c>
      <c r="I235" s="2" t="inlineStr">
        <is>
          <t>3600</t>
        </is>
      </c>
      <c r="J235" s="4"/>
      <c r="K235" s="2">
        <v>57</v>
      </c>
      <c r="L235" s="6"/>
      <c r="M235" s="2" t="str">
        <f>IF(J235="",ROUND(I235*(1-IF(ISBLANK(L235),K235,L235)/100),2),ROUND(J235*(1-IF(ISBLANK(L235),K235,L235)/100),2))</f>
      </c>
      <c r="N235" s="7" t="str">
        <f>IF(NOT(AND(J235="",L235="")),IF(OR(AND(L235&lt;&gt;"",NOT(ISNUMBER(L235))),IFERROR(MOD(L235,1),1)&gt;0,AND(ISNUMBER(L235),OR(L235&lt;0,L235&gt;95))),"Введите целое число от 0 до 95",IF(OR(AND(J235&lt;&gt;"",NOT(ISNUMBER(J235))),IFERROR(MOD(J235,1),1)&gt;0,AND(ISNUMBER(J235),OR(J235&lt;50,J235&gt;20000000))),"Введите целое число от 50 до 20000000",IF(NOT(ABS(IFERROR(VALUE(LEFT(M235,FIND("-",M235)-1)),M235)*100-(2500+2000000000)/2)&lt;=ABS(2500-2000000000)/2),"Цена со скидкой должна быть от 25 до 20000000",IF(IFERROR(VALUE(LEFT(M235,FIND("-",M235)-1)),M235)*229&lt;154800,"Вы уменьшили цену в несколько раз, товар попадет в карантин цен",IF(AND(IFERROR(VALUE(I235),0)=0,ISNUMBER(J235),OR(J235&lt;226,ABS(IFERROR(VALUE(LEFT(M235,FIND("-",M235)-1)),M235))*100&lt;22600)),"Проверьте цену товара. Большинство товаров в выбранной категории стоят дороже 226",""))))),"")</f>
      </c>
    </row>
    <row r="236">
      <c r="A236" s="2" t="inlineStr">
        <is>
          <t>VitalEmb</t>
        </is>
      </c>
      <c r="B236" s="2" t="inlineStr">
        <is>
          <t>Декор для одежды</t>
        </is>
      </c>
      <c r="C236" s="2">
        <v>709500568</v>
      </c>
      <c r="D236" s="2" t="inlineStr">
        <is>
          <t>svopict0030</t>
        </is>
      </c>
      <c r="E236" s="2" t="inlineStr">
        <is>
          <t>2047919976314</t>
        </is>
      </c>
      <c r="F236" s="2">
        <v>13</v>
      </c>
      <c r="G236" s="2">
        <v>0</v>
      </c>
      <c r="H236" s="2">
        <v>999</v>
      </c>
      <c r="I236" s="2" t="inlineStr">
        <is>
          <t>1100</t>
        </is>
      </c>
      <c r="J236" s="4"/>
      <c r="K236" s="2">
        <v>57</v>
      </c>
      <c r="L236" s="6"/>
      <c r="M236" s="2" t="str">
        <f>IF(J236="",ROUND(I236*(1-IF(ISBLANK(L236),K236,L236)/100),2),ROUND(J236*(1-IF(ISBLANK(L236),K236,L236)/100),2))</f>
      </c>
      <c r="N236" s="7" t="str">
        <f>IF(NOT(AND(J236="",L236="")),IF(OR(AND(L236&lt;&gt;"",NOT(ISNUMBER(L236))),IFERROR(MOD(L236,1),1)&gt;0,AND(ISNUMBER(L236),OR(L236&lt;0,L236&gt;95))),"Введите целое число от 0 до 95",IF(OR(AND(J236&lt;&gt;"",NOT(ISNUMBER(J236))),IFERROR(MOD(J236,1),1)&gt;0,AND(ISNUMBER(J236),OR(J236&lt;50,J236&gt;20000000))),"Введите целое число от 50 до 20000000",IF(NOT(ABS(IFERROR(VALUE(LEFT(M236,FIND("-",M236)-1)),M236)*100-(2500+2000000000)/2)&lt;=ABS(2500-2000000000)/2),"Цена со скидкой должна быть от 25 до 20000000",IF(IFERROR(VALUE(LEFT(M236,FIND("-",M236)-1)),M236)*229&lt;47300,"Вы уменьшили цену в несколько раз, товар попадет в карантин цен",IF(AND(IFERROR(VALUE(I236),0)=0,ISNUMBER(J236),OR(J236&lt;226,ABS(IFERROR(VALUE(LEFT(M236,FIND("-",M236)-1)),M236))*100&lt;22600)),"Проверьте цену товара. Большинство товаров в выбранной категории стоят дороже 226",""))))),"")</f>
      </c>
    </row>
    <row r="237">
      <c r="A237" s="2" t="inlineStr">
        <is>
          <t>VitalEmb</t>
        </is>
      </c>
      <c r="B237" s="2" t="inlineStr">
        <is>
          <t>Декор для одежды</t>
        </is>
      </c>
      <c r="C237" s="2">
        <v>605202548</v>
      </c>
      <c r="D237" s="2" t="inlineStr">
        <is>
          <t>razpict0014_pict0144</t>
        </is>
      </c>
      <c r="E237" s="2" t="inlineStr">
        <is>
          <t>2047172029307</t>
        </is>
      </c>
      <c r="F237" s="2">
        <v>16</v>
      </c>
      <c r="G237" s="2">
        <v>0</v>
      </c>
      <c r="H237" s="2">
        <v>20</v>
      </c>
      <c r="I237" s="2" t="inlineStr">
        <is>
          <t>1100</t>
        </is>
      </c>
      <c r="J237" s="4"/>
      <c r="K237" s="2">
        <v>64</v>
      </c>
      <c r="L237" s="6"/>
      <c r="M237" s="2" t="str">
        <f>IF(J237="",ROUND(I237*(1-IF(ISBLANK(L237),K237,L237)/100),2),ROUND(J237*(1-IF(ISBLANK(L237),K237,L237)/100),2))</f>
      </c>
      <c r="N237" s="7" t="str">
        <f>IF(NOT(AND(J237="",L237="")),IF(OR(AND(L237&lt;&gt;"",NOT(ISNUMBER(L237))),IFERROR(MOD(L237,1),1)&gt;0,AND(ISNUMBER(L237),OR(L237&lt;0,L237&gt;95))),"Введите целое число от 0 до 95",IF(OR(AND(J237&lt;&gt;"",NOT(ISNUMBER(J237))),IFERROR(MOD(J237,1),1)&gt;0,AND(ISNUMBER(J237),OR(J237&lt;50,J237&gt;20000000))),"Введите целое число от 50 до 20000000",IF(NOT(ABS(IFERROR(VALUE(LEFT(M237,FIND("-",M237)-1)),M237)*100-(2500+2000000000)/2)&lt;=ABS(2500-2000000000)/2),"Цена со скидкой должна быть от 25 до 20000000",IF(IFERROR(VALUE(LEFT(M237,FIND("-",M237)-1)),M237)*229&lt;39600,"Вы уменьшили цену в несколько раз, товар попадет в карантин цен",IF(AND(IFERROR(VALUE(I237),0)=0,ISNUMBER(J237),OR(J237&lt;226,ABS(IFERROR(VALUE(LEFT(M237,FIND("-",M237)-1)),M237))*100&lt;22600)),"Проверьте цену товара. Большинство товаров в выбранной категории стоят дороже 226",""))))),"")</f>
      </c>
    </row>
    <row r="238">
      <c r="A238" s="2" t="inlineStr">
        <is>
          <t>VitalEmb</t>
        </is>
      </c>
      <c r="B238" s="2" t="inlineStr">
        <is>
          <t>Декор для одежды</t>
        </is>
      </c>
      <c r="C238" s="2">
        <v>679474466</v>
      </c>
      <c r="D238" s="2" t="inlineStr">
        <is>
          <t>razpict0023</t>
        </is>
      </c>
      <c r="E238" s="2" t="inlineStr">
        <is>
          <t>2047675657595</t>
        </is>
      </c>
      <c r="F238" s="2">
        <v>14</v>
      </c>
      <c r="G238" s="2">
        <v>0</v>
      </c>
      <c r="H238" s="2">
        <v>999</v>
      </c>
      <c r="I238" s="2" t="inlineStr">
        <is>
          <t>1100</t>
        </is>
      </c>
      <c r="J238" s="4"/>
      <c r="K238" s="2">
        <v>57</v>
      </c>
      <c r="L238" s="6"/>
      <c r="M238" s="2" t="str">
        <f>IF(J238="",ROUND(I238*(1-IF(ISBLANK(L238),K238,L238)/100),2),ROUND(J238*(1-IF(ISBLANK(L238),K238,L238)/100),2))</f>
      </c>
      <c r="N238" s="7" t="str">
        <f>IF(NOT(AND(J238="",L238="")),IF(OR(AND(L238&lt;&gt;"",NOT(ISNUMBER(L238))),IFERROR(MOD(L238,1),1)&gt;0,AND(ISNUMBER(L238),OR(L238&lt;0,L238&gt;95))),"Введите целое число от 0 до 95",IF(OR(AND(J238&lt;&gt;"",NOT(ISNUMBER(J238))),IFERROR(MOD(J238,1),1)&gt;0,AND(ISNUMBER(J238),OR(J238&lt;50,J238&gt;20000000))),"Введите целое число от 50 до 20000000",IF(NOT(ABS(IFERROR(VALUE(LEFT(M238,FIND("-",M238)-1)),M238)*100-(2500+2000000000)/2)&lt;=ABS(2500-2000000000)/2),"Цена со скидкой должна быть от 25 до 20000000",IF(IFERROR(VALUE(LEFT(M238,FIND("-",M238)-1)),M238)*229&lt;47300,"Вы уменьшили цену в несколько раз, товар попадет в карантин цен",IF(AND(IFERROR(VALUE(I238),0)=0,ISNUMBER(J238),OR(J238&lt;226,ABS(IFERROR(VALUE(LEFT(M238,FIND("-",M238)-1)),M238))*100&lt;22600)),"Проверьте цену товара. Большинство товаров в выбранной категории стоят дороже 226",""))))),"")</f>
      </c>
    </row>
    <row r="239">
      <c r="A239" s="2" t="inlineStr">
        <is>
          <t>VitalEmb</t>
        </is>
      </c>
      <c r="B239" s="2" t="inlineStr">
        <is>
          <t>Декор для одежды</t>
        </is>
      </c>
      <c r="C239" s="2">
        <v>600849791</v>
      </c>
      <c r="D239" s="2" t="inlineStr">
        <is>
          <t>bplapict0015_pict0161</t>
        </is>
      </c>
      <c r="E239" s="2" t="inlineStr">
        <is>
          <t>2047132584723</t>
        </is>
      </c>
      <c r="F239" s="2">
        <v>14</v>
      </c>
      <c r="G239" s="2">
        <v>0</v>
      </c>
      <c r="H239" s="2">
        <v>999</v>
      </c>
      <c r="I239" s="2" t="inlineStr">
        <is>
          <t>1100</t>
        </is>
      </c>
      <c r="J239" s="4"/>
      <c r="K239" s="2">
        <v>65</v>
      </c>
      <c r="L239" s="6"/>
      <c r="M239" s="2" t="str">
        <f>IF(J239="",ROUND(I239*(1-IF(ISBLANK(L239),K239,L239)/100),2),ROUND(J239*(1-IF(ISBLANK(L239),K239,L239)/100),2))</f>
      </c>
      <c r="N239" s="7" t="str">
        <f>IF(NOT(AND(J239="",L239="")),IF(OR(AND(L239&lt;&gt;"",NOT(ISNUMBER(L239))),IFERROR(MOD(L239,1),1)&gt;0,AND(ISNUMBER(L239),OR(L239&lt;0,L239&gt;95))),"Введите целое число от 0 до 95",IF(OR(AND(J239&lt;&gt;"",NOT(ISNUMBER(J239))),IFERROR(MOD(J239,1),1)&gt;0,AND(ISNUMBER(J239),OR(J239&lt;50,J239&gt;20000000))),"Введите целое число от 50 до 20000000",IF(NOT(ABS(IFERROR(VALUE(LEFT(M239,FIND("-",M239)-1)),M239)*100-(2500+2000000000)/2)&lt;=ABS(2500-2000000000)/2),"Цена со скидкой должна быть от 25 до 20000000",IF(IFERROR(VALUE(LEFT(M239,FIND("-",M239)-1)),M239)*229&lt;38500,"Вы уменьшили цену в несколько раз, товар попадет в карантин цен",IF(AND(IFERROR(VALUE(I239),0)=0,ISNUMBER(J239),OR(J239&lt;226,ABS(IFERROR(VALUE(LEFT(M239,FIND("-",M239)-1)),M239))*100&lt;22600)),"Проверьте цену товара. Большинство товаров в выбранной категории стоят дороже 226",""))))),"")</f>
      </c>
    </row>
    <row r="240">
      <c r="A240" s="2" t="inlineStr">
        <is>
          <t>VitalEmb</t>
        </is>
      </c>
      <c r="B240" s="2" t="inlineStr">
        <is>
          <t>Декор для одежды</t>
        </is>
      </c>
      <c r="C240" s="2">
        <v>603642330</v>
      </c>
      <c r="D240" s="2" t="inlineStr">
        <is>
          <t>mvdkit2nr0002</t>
        </is>
      </c>
      <c r="E240" s="2" t="inlineStr">
        <is>
          <t>2047147098161</t>
        </is>
      </c>
      <c r="F240" s="2">
        <v>1</v>
      </c>
      <c r="G240" s="2">
        <v>0</v>
      </c>
      <c r="H240" s="2">
        <v>20</v>
      </c>
      <c r="I240" s="2" t="inlineStr">
        <is>
          <t>2000</t>
        </is>
      </c>
      <c r="J240" s="4"/>
      <c r="K240" s="2">
        <v>65</v>
      </c>
      <c r="L240" s="6"/>
      <c r="M240" s="2" t="str">
        <f>IF(J240="",ROUND(I240*(1-IF(ISBLANK(L240),K240,L240)/100),2),ROUND(J240*(1-IF(ISBLANK(L240),K240,L240)/100),2))</f>
      </c>
      <c r="N240" s="7" t="str">
        <f>IF(NOT(AND(J240="",L240="")),IF(OR(AND(L240&lt;&gt;"",NOT(ISNUMBER(L240))),IFERROR(MOD(L240,1),1)&gt;0,AND(ISNUMBER(L240),OR(L240&lt;0,L240&gt;95))),"Введите целое число от 0 до 95",IF(OR(AND(J240&lt;&gt;"",NOT(ISNUMBER(J240))),IFERROR(MOD(J240,1),1)&gt;0,AND(ISNUMBER(J240),OR(J240&lt;50,J240&gt;20000000))),"Введите целое число от 50 до 20000000",IF(NOT(ABS(IFERROR(VALUE(LEFT(M240,FIND("-",M240)-1)),M240)*100-(2500+2000000000)/2)&lt;=ABS(2500-2000000000)/2),"Цена со скидкой должна быть от 25 до 20000000",IF(IFERROR(VALUE(LEFT(M240,FIND("-",M240)-1)),M240)*229&lt;70000,"Вы уменьшили цену в несколько раз, товар попадет в карантин цен",IF(AND(IFERROR(VALUE(I240),0)=0,ISNUMBER(J240),OR(J240&lt;226,ABS(IFERROR(VALUE(LEFT(M240,FIND("-",M240)-1)),M240))*100&lt;22600)),"Проверьте цену товара. Большинство товаров в выбранной категории стоят дороже 226",""))))),"")</f>
      </c>
    </row>
    <row r="241">
      <c r="A241" s="2" t="inlineStr">
        <is>
          <t>VitalEmb</t>
        </is>
      </c>
      <c r="B241" s="2" t="inlineStr">
        <is>
          <t>Декор для одежды</t>
        </is>
      </c>
      <c r="C241" s="2">
        <v>649698032</v>
      </c>
      <c r="D241" s="2" t="inlineStr">
        <is>
          <t>bplapict0020</t>
        </is>
      </c>
      <c r="E241" s="2" t="inlineStr">
        <is>
          <t>2047490040855</t>
        </is>
      </c>
      <c r="F241" s="2">
        <v>6</v>
      </c>
      <c r="G241" s="2">
        <v>0</v>
      </c>
      <c r="H241" s="2">
        <v>44</v>
      </c>
      <c r="I241" s="2" t="inlineStr">
        <is>
          <t>1100</t>
        </is>
      </c>
      <c r="J241" s="4"/>
      <c r="K241" s="2">
        <v>56</v>
      </c>
      <c r="L241" s="6"/>
      <c r="M241" s="2" t="str">
        <f>IF(J241="",ROUND(I241*(1-IF(ISBLANK(L241),K241,L241)/100),2),ROUND(J241*(1-IF(ISBLANK(L241),K241,L241)/100),2))</f>
      </c>
      <c r="N241" s="7" t="str">
        <f>IF(NOT(AND(J241="",L241="")),IF(OR(AND(L241&lt;&gt;"",NOT(ISNUMBER(L241))),IFERROR(MOD(L241,1),1)&gt;0,AND(ISNUMBER(L241),OR(L241&lt;0,L241&gt;95))),"Введите целое число от 0 до 95",IF(OR(AND(J241&lt;&gt;"",NOT(ISNUMBER(J241))),IFERROR(MOD(J241,1),1)&gt;0,AND(ISNUMBER(J241),OR(J241&lt;50,J241&gt;20000000))),"Введите целое число от 50 до 20000000",IF(NOT(ABS(IFERROR(VALUE(LEFT(M241,FIND("-",M241)-1)),M241)*100-(2500+2000000000)/2)&lt;=ABS(2500-2000000000)/2),"Цена со скидкой должна быть от 25 до 20000000",IF(IFERROR(VALUE(LEFT(M241,FIND("-",M241)-1)),M241)*229&lt;48399,"Вы уменьшили цену в несколько раз, товар попадет в карантин цен",IF(AND(IFERROR(VALUE(I241),0)=0,ISNUMBER(J241),OR(J241&lt;226,ABS(IFERROR(VALUE(LEFT(M241,FIND("-",M241)-1)),M241))*100&lt;22600)),"Проверьте цену товара. Большинство товаров в выбранной категории стоят дороже 226",""))))),"")</f>
      </c>
    </row>
    <row r="242">
      <c r="A242" s="2" t="inlineStr">
        <is>
          <t>VitalEmb</t>
        </is>
      </c>
      <c r="B242" s="2" t="inlineStr">
        <is>
          <t>Декор для одежды</t>
        </is>
      </c>
      <c r="C242" s="2">
        <v>682449213</v>
      </c>
      <c r="D242" s="2" t="inlineStr">
        <is>
          <t>mvdkit2nr0009</t>
        </is>
      </c>
      <c r="E242" s="2" t="inlineStr">
        <is>
          <t>2047699254114</t>
        </is>
      </c>
      <c r="F242" s="2">
        <v>16</v>
      </c>
      <c r="G242" s="2">
        <v>0</v>
      </c>
      <c r="H242" s="2" t="inlineStr">
        <is>
          <t/>
        </is>
      </c>
      <c r="I242" s="2" t="inlineStr">
        <is>
          <t>2000</t>
        </is>
      </c>
      <c r="J242" s="4"/>
      <c r="K242" s="2">
        <v>55</v>
      </c>
      <c r="L242" s="6"/>
      <c r="M242" s="2" t="str">
        <f>IF(J242="",ROUND(I242*(1-IF(ISBLANK(L242),K242,L242)/100),2),ROUND(J242*(1-IF(ISBLANK(L242),K242,L242)/100),2))</f>
      </c>
      <c r="N242" s="7" t="str">
        <f>IF(NOT(AND(J242="",L242="")),IF(OR(AND(L242&lt;&gt;"",NOT(ISNUMBER(L242))),IFERROR(MOD(L242,1),1)&gt;0,AND(ISNUMBER(L242),OR(L242&lt;0,L242&gt;95))),"Введите целое число от 0 до 95",IF(OR(AND(J242&lt;&gt;"",NOT(ISNUMBER(J242))),IFERROR(MOD(J242,1),1)&gt;0,AND(ISNUMBER(J242),OR(J242&lt;50,J242&gt;20000000))),"Введите целое число от 50 до 20000000",IF(NOT(ABS(IFERROR(VALUE(LEFT(M242,FIND("-",M242)-1)),M242)*100-(2500+2000000000)/2)&lt;=ABS(2500-2000000000)/2),"Цена со скидкой должна быть от 25 до 20000000",IF(IFERROR(VALUE(LEFT(M242,FIND("-",M242)-1)),M242)*229&lt;89999,"Вы уменьшили цену в несколько раз, товар попадет в карантин цен",IF(AND(IFERROR(VALUE(I242),0)=0,ISNUMBER(J242),OR(J242&lt;226,ABS(IFERROR(VALUE(LEFT(M242,FIND("-",M242)-1)),M242))*100&lt;22600)),"Проверьте цену товара. Большинство товаров в выбранной категории стоят дороже 226",""))))),"")</f>
      </c>
    </row>
    <row r="243">
      <c r="A243" s="2" t="inlineStr">
        <is>
          <t>VitalEmb</t>
        </is>
      </c>
      <c r="B243" s="2" t="inlineStr">
        <is>
          <t>Декор для одежды</t>
        </is>
      </c>
      <c r="C243" s="2">
        <v>605224622</v>
      </c>
      <c r="D243" s="2" t="inlineStr">
        <is>
          <t>svoptext0001_text0016</t>
        </is>
      </c>
      <c r="E243" s="2" t="inlineStr">
        <is>
          <t>2047172366945</t>
        </is>
      </c>
      <c r="F243" s="2">
        <v>47</v>
      </c>
      <c r="G243" s="2">
        <v>0</v>
      </c>
      <c r="H243" s="2">
        <v>378</v>
      </c>
      <c r="I243" s="2" t="inlineStr">
        <is>
          <t>1100</t>
        </is>
      </c>
      <c r="J243" s="4"/>
      <c r="K243" s="2">
        <v>60</v>
      </c>
      <c r="L243" s="6"/>
      <c r="M243" s="2" t="str">
        <f>IF(J243="",ROUND(I243*(1-IF(ISBLANK(L243),K243,L243)/100),2),ROUND(J243*(1-IF(ISBLANK(L243),K243,L243)/100),2))</f>
      </c>
      <c r="N243" s="7" t="str">
        <f>IF(NOT(AND(J243="",L243="")),IF(OR(AND(L243&lt;&gt;"",NOT(ISNUMBER(L243))),IFERROR(MOD(L243,1),1)&gt;0,AND(ISNUMBER(L243),OR(L243&lt;0,L243&gt;95))),"Введите целое число от 0 до 95",IF(OR(AND(J243&lt;&gt;"",NOT(ISNUMBER(J243))),IFERROR(MOD(J243,1),1)&gt;0,AND(ISNUMBER(J243),OR(J243&lt;50,J243&gt;20000000))),"Введите целое число от 50 до 20000000",IF(NOT(ABS(IFERROR(VALUE(LEFT(M243,FIND("-",M243)-1)),M243)*100-(2500+2000000000)/2)&lt;=ABS(2500-2000000000)/2),"Цена со скидкой должна быть от 25 до 20000000",IF(IFERROR(VALUE(LEFT(M243,FIND("-",M243)-1)),M243)*229&lt;44000,"Вы уменьшили цену в несколько раз, товар попадет в карантин цен",IF(AND(IFERROR(VALUE(I243),0)=0,ISNUMBER(J243),OR(J243&lt;226,ABS(IFERROR(VALUE(LEFT(M243,FIND("-",M243)-1)),M243))*100&lt;22600)),"Проверьте цену товара. Большинство товаров в выбранной категории стоят дороже 226",""))))),"")</f>
      </c>
    </row>
    <row r="244">
      <c r="A244" s="2" t="inlineStr">
        <is>
          <t>VitalEmb</t>
        </is>
      </c>
      <c r="B244" s="2" t="inlineStr">
        <is>
          <t>Декор для одежды</t>
        </is>
      </c>
      <c r="C244" s="2">
        <v>709461007</v>
      </c>
      <c r="D244" s="2" t="inlineStr">
        <is>
          <t>razpict0043</t>
        </is>
      </c>
      <c r="E244" s="2" t="inlineStr">
        <is>
          <t>2047919653970</t>
        </is>
      </c>
      <c r="F244" s="2">
        <v>22</v>
      </c>
      <c r="G244" s="2">
        <v>0</v>
      </c>
      <c r="H244" s="2">
        <v>999</v>
      </c>
      <c r="I244" s="2" t="inlineStr">
        <is>
          <t>1100</t>
        </is>
      </c>
      <c r="J244" s="4"/>
      <c r="K244" s="2">
        <v>57</v>
      </c>
      <c r="L244" s="6"/>
      <c r="M244" s="2" t="str">
        <f>IF(J244="",ROUND(I244*(1-IF(ISBLANK(L244),K244,L244)/100),2),ROUND(J244*(1-IF(ISBLANK(L244),K244,L244)/100),2))</f>
      </c>
      <c r="N244" s="7" t="str">
        <f>IF(NOT(AND(J244="",L244="")),IF(OR(AND(L244&lt;&gt;"",NOT(ISNUMBER(L244))),IFERROR(MOD(L244,1),1)&gt;0,AND(ISNUMBER(L244),OR(L244&lt;0,L244&gt;95))),"Введите целое число от 0 до 95",IF(OR(AND(J244&lt;&gt;"",NOT(ISNUMBER(J244))),IFERROR(MOD(J244,1),1)&gt;0,AND(ISNUMBER(J244),OR(J244&lt;50,J244&gt;20000000))),"Введите целое число от 50 до 20000000",IF(NOT(ABS(IFERROR(VALUE(LEFT(M244,FIND("-",M244)-1)),M244)*100-(2500+2000000000)/2)&lt;=ABS(2500-2000000000)/2),"Цена со скидкой должна быть от 25 до 20000000",IF(IFERROR(VALUE(LEFT(M244,FIND("-",M244)-1)),M244)*229&lt;47300,"Вы уменьшили цену в несколько раз, товар попадет в карантин цен",IF(AND(IFERROR(VALUE(I244),0)=0,ISNUMBER(J244),OR(J244&lt;226,ABS(IFERROR(VALUE(LEFT(M244,FIND("-",M244)-1)),M244))*100&lt;22600)),"Проверьте цену товара. Большинство товаров в выбранной категории стоят дороже 226",""))))),"")</f>
      </c>
    </row>
    <row r="245">
      <c r="A245" s="2" t="inlineStr">
        <is>
          <t>VitalEmb</t>
        </is>
      </c>
      <c r="B245" s="2" t="inlineStr">
        <is>
          <t>Декор для одежды</t>
        </is>
      </c>
      <c r="C245" s="2">
        <v>600731055</v>
      </c>
      <c r="D245" s="2" t="inlineStr">
        <is>
          <t>svopict0025_pict0155</t>
        </is>
      </c>
      <c r="E245" s="2" t="inlineStr">
        <is>
          <t>2047130696077</t>
        </is>
      </c>
      <c r="F245" s="2">
        <v>10</v>
      </c>
      <c r="G245" s="2">
        <v>0</v>
      </c>
      <c r="H245" s="2">
        <v>36</v>
      </c>
      <c r="I245" s="2" t="inlineStr">
        <is>
          <t>1100</t>
        </is>
      </c>
      <c r="J245" s="4"/>
      <c r="K245" s="2">
        <v>63</v>
      </c>
      <c r="L245" s="6"/>
      <c r="M245" s="2" t="str">
        <f>IF(J245="",ROUND(I245*(1-IF(ISBLANK(L245),K245,L245)/100),2),ROUND(J245*(1-IF(ISBLANK(L245),K245,L245)/100),2))</f>
      </c>
      <c r="N245" s="7" t="str">
        <f>IF(NOT(AND(J245="",L245="")),IF(OR(AND(L245&lt;&gt;"",NOT(ISNUMBER(L245))),IFERROR(MOD(L245,1),1)&gt;0,AND(ISNUMBER(L245),OR(L245&lt;0,L245&gt;95))),"Введите целое число от 0 до 95",IF(OR(AND(J245&lt;&gt;"",NOT(ISNUMBER(J245))),IFERROR(MOD(J245,1),1)&gt;0,AND(ISNUMBER(J245),OR(J245&lt;50,J245&gt;20000000))),"Введите целое число от 50 до 20000000",IF(NOT(ABS(IFERROR(VALUE(LEFT(M245,FIND("-",M245)-1)),M245)*100-(2500+2000000000)/2)&lt;=ABS(2500-2000000000)/2),"Цена со скидкой должна быть от 25 до 20000000",IF(IFERROR(VALUE(LEFT(M245,FIND("-",M245)-1)),M245)*229&lt;40700,"Вы уменьшили цену в несколько раз, товар попадет в карантин цен",IF(AND(IFERROR(VALUE(I245),0)=0,ISNUMBER(J245),OR(J245&lt;226,ABS(IFERROR(VALUE(LEFT(M245,FIND("-",M245)-1)),M245))*100&lt;22600)),"Проверьте цену товара. Большинство товаров в выбранной категории стоят дороже 226",""))))),"")</f>
      </c>
    </row>
    <row r="246">
      <c r="A246" s="2" t="inlineStr">
        <is>
          <t>VitalEmb</t>
        </is>
      </c>
      <c r="B246" s="2" t="inlineStr">
        <is>
          <t>Декор для одежды</t>
        </is>
      </c>
      <c r="C246" s="2">
        <v>682466311</v>
      </c>
      <c r="D246" s="2" t="inlineStr">
        <is>
          <t>mvdkit40001</t>
        </is>
      </c>
      <c r="E246" s="2" t="inlineStr">
        <is>
          <t>2047699397903</t>
        </is>
      </c>
      <c r="F246" s="2">
        <v>14</v>
      </c>
      <c r="G246" s="2">
        <v>0</v>
      </c>
      <c r="H246" s="2">
        <v>999</v>
      </c>
      <c r="I246" s="2" t="inlineStr">
        <is>
          <t>3600</t>
        </is>
      </c>
      <c r="J246" s="4"/>
      <c r="K246" s="2">
        <v>58</v>
      </c>
      <c r="L246" s="6"/>
      <c r="M246" s="2" t="str">
        <f>IF(J246="",ROUND(I246*(1-IF(ISBLANK(L246),K246,L246)/100),2),ROUND(J246*(1-IF(ISBLANK(L246),K246,L246)/100),2))</f>
      </c>
      <c r="N246" s="7" t="str">
        <f>IF(NOT(AND(J246="",L246="")),IF(OR(AND(L246&lt;&gt;"",NOT(ISNUMBER(L246))),IFERROR(MOD(L246,1),1)&gt;0,AND(ISNUMBER(L246),OR(L246&lt;0,L246&gt;95))),"Введите целое число от 0 до 95",IF(OR(AND(J246&lt;&gt;"",NOT(ISNUMBER(J246))),IFERROR(MOD(J246,1),1)&gt;0,AND(ISNUMBER(J246),OR(J246&lt;50,J246&gt;20000000))),"Введите целое число от 50 до 20000000",IF(NOT(ABS(IFERROR(VALUE(LEFT(M246,FIND("-",M246)-1)),M246)*100-(2500+2000000000)/2)&lt;=ABS(2500-2000000000)/2),"Цена со скидкой должна быть от 25 до 20000000",IF(IFERROR(VALUE(LEFT(M246,FIND("-",M246)-1)),M246)*229&lt;151200,"Вы уменьшили цену в несколько раз, товар попадет в карантин цен",IF(AND(IFERROR(VALUE(I246),0)=0,ISNUMBER(J246),OR(J246&lt;226,ABS(IFERROR(VALUE(LEFT(M246,FIND("-",M246)-1)),M246))*100&lt;22600)),"Проверьте цену товара. Большинство товаров в выбранной категории стоят дороже 226",""))))),"")</f>
      </c>
    </row>
    <row r="247">
      <c r="A247" s="2" t="inlineStr">
        <is>
          <t>VitalEmb</t>
        </is>
      </c>
      <c r="B247" s="2" t="inlineStr">
        <is>
          <t>Декор для одежды</t>
        </is>
      </c>
      <c r="C247" s="2">
        <v>655831242</v>
      </c>
      <c r="D247" s="2" t="inlineStr">
        <is>
          <t>rosgnr0001_222548</t>
        </is>
      </c>
      <c r="E247" s="2" t="inlineStr">
        <is>
          <t>2047519388180</t>
        </is>
      </c>
      <c r="F247" s="2">
        <v>9</v>
      </c>
      <c r="G247" s="2">
        <v>0</v>
      </c>
      <c r="H247" s="2">
        <v>300</v>
      </c>
      <c r="I247" s="2" t="inlineStr">
        <is>
          <t>1100</t>
        </is>
      </c>
      <c r="J247" s="4"/>
      <c r="K247" s="2">
        <v>52</v>
      </c>
      <c r="L247" s="6"/>
      <c r="M247" s="2" t="str">
        <f>IF(J247="",ROUND(I247*(1-IF(ISBLANK(L247),K247,L247)/100),2),ROUND(J247*(1-IF(ISBLANK(L247),K247,L247)/100),2))</f>
      </c>
      <c r="N247" s="7" t="str">
        <f>IF(NOT(AND(J247="",L247="")),IF(OR(AND(L247&lt;&gt;"",NOT(ISNUMBER(L247))),IFERROR(MOD(L247,1),1)&gt;0,AND(ISNUMBER(L247),OR(L247&lt;0,L247&gt;95))),"Введите целое число от 0 до 95",IF(OR(AND(J247&lt;&gt;"",NOT(ISNUMBER(J247))),IFERROR(MOD(J247,1),1)&gt;0,AND(ISNUMBER(J247),OR(J247&lt;50,J247&gt;20000000))),"Введите целое число от 50 до 20000000",IF(NOT(ABS(IFERROR(VALUE(LEFT(M247,FIND("-",M247)-1)),M247)*100-(2500+2000000000)/2)&lt;=ABS(2500-2000000000)/2),"Цена со скидкой должна быть от 25 до 20000000",IF(IFERROR(VALUE(LEFT(M247,FIND("-",M247)-1)),M247)*229&lt;52800,"Вы уменьшили цену в несколько раз, товар попадет в карантин цен",IF(AND(IFERROR(VALUE(I247),0)=0,ISNUMBER(J247),OR(J247&lt;226,ABS(IFERROR(VALUE(LEFT(M247,FIND("-",M247)-1)),M247))*100&lt;22600)),"Проверьте цену товара. Большинство товаров в выбранной категории стоят дороже 226",""))))),"")</f>
      </c>
    </row>
    <row r="248">
      <c r="A248" s="2" t="inlineStr">
        <is>
          <t>VitalEmb</t>
        </is>
      </c>
      <c r="B248" s="2" t="inlineStr">
        <is>
          <t>Декор для одежды</t>
        </is>
      </c>
      <c r="C248" s="2">
        <v>682473661</v>
      </c>
      <c r="D248" s="2" t="inlineStr">
        <is>
          <t>mvdkit40002</t>
        </is>
      </c>
      <c r="E248" s="2" t="inlineStr">
        <is>
          <t>2047699516151</t>
        </is>
      </c>
      <c r="F248" s="2">
        <v>15</v>
      </c>
      <c r="G248" s="2">
        <v>0</v>
      </c>
      <c r="H248" s="2">
        <v>999</v>
      </c>
      <c r="I248" s="2" t="inlineStr">
        <is>
          <t>3600</t>
        </is>
      </c>
      <c r="J248" s="4"/>
      <c r="K248" s="2">
        <v>57</v>
      </c>
      <c r="L248" s="6"/>
      <c r="M248" s="2" t="str">
        <f>IF(J248="",ROUND(I248*(1-IF(ISBLANK(L248),K248,L248)/100),2),ROUND(J248*(1-IF(ISBLANK(L248),K248,L248)/100),2))</f>
      </c>
      <c r="N248" s="7" t="str">
        <f>IF(NOT(AND(J248="",L248="")),IF(OR(AND(L248&lt;&gt;"",NOT(ISNUMBER(L248))),IFERROR(MOD(L248,1),1)&gt;0,AND(ISNUMBER(L248),OR(L248&lt;0,L248&gt;95))),"Введите целое число от 0 до 95",IF(OR(AND(J248&lt;&gt;"",NOT(ISNUMBER(J248))),IFERROR(MOD(J248,1),1)&gt;0,AND(ISNUMBER(J248),OR(J248&lt;50,J248&gt;20000000))),"Введите целое число от 50 до 20000000",IF(NOT(ABS(IFERROR(VALUE(LEFT(M248,FIND("-",M248)-1)),M248)*100-(2500+2000000000)/2)&lt;=ABS(2500-2000000000)/2),"Цена со скидкой должна быть от 25 до 20000000",IF(IFERROR(VALUE(LEFT(M248,FIND("-",M248)-1)),M248)*229&lt;154800,"Вы уменьшили цену в несколько раз, товар попадет в карантин цен",IF(AND(IFERROR(VALUE(I248),0)=0,ISNUMBER(J248),OR(J248&lt;226,ABS(IFERROR(VALUE(LEFT(M248,FIND("-",M248)-1)),M248))*100&lt;22600)),"Проверьте цену товара. Большинство товаров в выбранной категории стоят дороже 226",""))))),"")</f>
      </c>
    </row>
    <row r="249">
      <c r="A249" s="2" t="inlineStr">
        <is>
          <t>VitalEmb</t>
        </is>
      </c>
      <c r="B249" s="2" t="inlineStr">
        <is>
          <t>Декор для одежды</t>
        </is>
      </c>
      <c r="C249" s="2">
        <v>684972453</v>
      </c>
      <c r="D249" s="2" t="inlineStr">
        <is>
          <t>mvdkit2nr0013</t>
        </is>
      </c>
      <c r="E249" s="2" t="inlineStr">
        <is>
          <t>2047715649689</t>
        </is>
      </c>
      <c r="F249" s="2" t="inlineStr">
        <is>
          <t/>
        </is>
      </c>
      <c r="G249" s="2" t="inlineStr">
        <is>
          <t/>
        </is>
      </c>
      <c r="H249" s="2" t="inlineStr">
        <is>
          <t/>
        </is>
      </c>
      <c r="I249" s="2" t="inlineStr">
        <is>
          <t>2000</t>
        </is>
      </c>
      <c r="J249" s="4"/>
      <c r="K249" s="2">
        <v>55</v>
      </c>
      <c r="L249" s="6"/>
      <c r="M249" s="2" t="str">
        <f>IF(J249="",ROUND(I249*(1-IF(ISBLANK(L249),K249,L249)/100),2),ROUND(J249*(1-IF(ISBLANK(L249),K249,L249)/100),2))</f>
      </c>
      <c r="N249" s="7" t="str">
        <f>IF(NOT(AND(J249="",L249="")),IF(OR(AND(L249&lt;&gt;"",NOT(ISNUMBER(L249))),IFERROR(MOD(L249,1),1)&gt;0,AND(ISNUMBER(L249),OR(L249&lt;0,L249&gt;95))),"Введите целое число от 0 до 95",IF(OR(AND(J249&lt;&gt;"",NOT(ISNUMBER(J249))),IFERROR(MOD(J249,1),1)&gt;0,AND(ISNUMBER(J249),OR(J249&lt;50,J249&gt;20000000))),"Введите целое число от 50 до 20000000",IF(NOT(ABS(IFERROR(VALUE(LEFT(M249,FIND("-",M249)-1)),M249)*100-(2500+2000000000)/2)&lt;=ABS(2500-2000000000)/2),"Цена со скидкой должна быть от 25 до 20000000",IF(IFERROR(VALUE(LEFT(M249,FIND("-",M249)-1)),M249)*229&lt;89999,"Вы уменьшили цену в несколько раз, товар попадет в карантин цен",IF(AND(IFERROR(VALUE(I249),0)=0,ISNUMBER(J249),OR(J249&lt;226,ABS(IFERROR(VALUE(LEFT(M249,FIND("-",M249)-1)),M249))*100&lt;22600)),"Проверьте цену товара. Большинство товаров в выбранной категории стоят дороже 226",""))))),"")</f>
      </c>
    </row>
    <row r="250">
      <c r="A250" s="2" t="inlineStr">
        <is>
          <t>VitalEmb</t>
        </is>
      </c>
      <c r="B250" s="2" t="inlineStr">
        <is>
          <t>Декор для одежды</t>
        </is>
      </c>
      <c r="C250" s="2">
        <v>600673311</v>
      </c>
      <c r="D250" s="2" t="inlineStr">
        <is>
          <t>svopict0024_pict0156</t>
        </is>
      </c>
      <c r="E250" s="2" t="inlineStr">
        <is>
          <t>2047129708828</t>
        </is>
      </c>
      <c r="F250" s="2">
        <v>7</v>
      </c>
      <c r="G250" s="2">
        <v>0</v>
      </c>
      <c r="H250" s="2">
        <v>60</v>
      </c>
      <c r="I250" s="2" t="inlineStr">
        <is>
          <t>1100</t>
        </is>
      </c>
      <c r="J250" s="4"/>
      <c r="K250" s="2">
        <v>63</v>
      </c>
      <c r="L250" s="6"/>
      <c r="M250" s="2" t="str">
        <f>IF(J250="",ROUND(I250*(1-IF(ISBLANK(L250),K250,L250)/100),2),ROUND(J250*(1-IF(ISBLANK(L250),K250,L250)/100),2))</f>
      </c>
      <c r="N250" s="7" t="str">
        <f>IF(NOT(AND(J250="",L250="")),IF(OR(AND(L250&lt;&gt;"",NOT(ISNUMBER(L250))),IFERROR(MOD(L250,1),1)&gt;0,AND(ISNUMBER(L250),OR(L250&lt;0,L250&gt;95))),"Введите целое число от 0 до 95",IF(OR(AND(J250&lt;&gt;"",NOT(ISNUMBER(J250))),IFERROR(MOD(J250,1),1)&gt;0,AND(ISNUMBER(J250),OR(J250&lt;50,J250&gt;20000000))),"Введите целое число от 50 до 20000000",IF(NOT(ABS(IFERROR(VALUE(LEFT(M250,FIND("-",M250)-1)),M250)*100-(2500+2000000000)/2)&lt;=ABS(2500-2000000000)/2),"Цена со скидкой должна быть от 25 до 20000000",IF(IFERROR(VALUE(LEFT(M250,FIND("-",M250)-1)),M250)*229&lt;40700,"Вы уменьшили цену в несколько раз, товар попадет в карантин цен",IF(AND(IFERROR(VALUE(I250),0)=0,ISNUMBER(J250),OR(J250&lt;226,ABS(IFERROR(VALUE(LEFT(M250,FIND("-",M250)-1)),M250))*100&lt;22600)),"Проверьте цену товара. Большинство товаров в выбранной категории стоят дороже 226",""))))),"")</f>
      </c>
    </row>
    <row r="251">
      <c r="A251" s="2" t="inlineStr">
        <is>
          <t>VitalEmb</t>
        </is>
      </c>
      <c r="B251" s="2" t="inlineStr">
        <is>
          <t>Декор для одежды</t>
        </is>
      </c>
      <c r="C251" s="2">
        <v>588951941</v>
      </c>
      <c r="D251" s="2" t="inlineStr">
        <is>
          <t>pzngol0017_pzol0018_222433</t>
        </is>
      </c>
      <c r="E251" s="2" t="inlineStr">
        <is>
          <t>2047011378818</t>
        </is>
      </c>
      <c r="F251" s="2">
        <v>13</v>
      </c>
      <c r="G251" s="2">
        <v>0</v>
      </c>
      <c r="H251" s="2">
        <v>196</v>
      </c>
      <c r="I251" s="2" t="inlineStr">
        <is>
          <t>1100</t>
        </is>
      </c>
      <c r="J251" s="4"/>
      <c r="K251" s="2">
        <v>65</v>
      </c>
      <c r="L251" s="6"/>
      <c r="M251" s="2" t="str">
        <f>IF(J251="",ROUND(I251*(1-IF(ISBLANK(L251),K251,L251)/100),2),ROUND(J251*(1-IF(ISBLANK(L251),K251,L251)/100),2))</f>
      </c>
      <c r="N251" s="7" t="str">
        <f>IF(NOT(AND(J251="",L251="")),IF(OR(AND(L251&lt;&gt;"",NOT(ISNUMBER(L251))),IFERROR(MOD(L251,1),1)&gt;0,AND(ISNUMBER(L251),OR(L251&lt;0,L251&gt;95))),"Введите целое число от 0 до 95",IF(OR(AND(J251&lt;&gt;"",NOT(ISNUMBER(J251))),IFERROR(MOD(J251,1),1)&gt;0,AND(ISNUMBER(J251),OR(J251&lt;50,J251&gt;20000000))),"Введите целое число от 50 до 20000000",IF(NOT(ABS(IFERROR(VALUE(LEFT(M251,FIND("-",M251)-1)),M251)*100-(2500+2000000000)/2)&lt;=ABS(2500-2000000000)/2),"Цена со скидкой должна быть от 25 до 20000000",IF(IFERROR(VALUE(LEFT(M251,FIND("-",M251)-1)),M251)*229&lt;38500,"Вы уменьшили цену в несколько раз, товар попадет в карантин цен",IF(AND(IFERROR(VALUE(I251),0)=0,ISNUMBER(J251),OR(J251&lt;226,ABS(IFERROR(VALUE(LEFT(M251,FIND("-",M251)-1)),M251))*100&lt;22600)),"Проверьте цену товара. Большинство товаров в выбранной категории стоят дороже 226",""))))),"")</f>
      </c>
    </row>
    <row r="252">
      <c r="A252" s="2" t="inlineStr">
        <is>
          <t>VitalEmb</t>
        </is>
      </c>
      <c r="B252" s="2" t="inlineStr">
        <is>
          <t>Декор для одежды</t>
        </is>
      </c>
      <c r="C252" s="2">
        <v>605131041</v>
      </c>
      <c r="D252" s="2" t="inlineStr">
        <is>
          <t>svopict0029_pict0151</t>
        </is>
      </c>
      <c r="E252" s="2" t="inlineStr">
        <is>
          <t>2047170947344</t>
        </is>
      </c>
      <c r="F252" s="2">
        <v>14</v>
      </c>
      <c r="G252" s="2">
        <v>0</v>
      </c>
      <c r="H252" s="2">
        <v>131</v>
      </c>
      <c r="I252" s="2" t="inlineStr">
        <is>
          <t>1100</t>
        </is>
      </c>
      <c r="J252" s="4"/>
      <c r="K252" s="2">
        <v>65</v>
      </c>
      <c r="L252" s="6"/>
      <c r="M252" s="2" t="str">
        <f>IF(J252="",ROUND(I252*(1-IF(ISBLANK(L252),K252,L252)/100),2),ROUND(J252*(1-IF(ISBLANK(L252),K252,L252)/100),2))</f>
      </c>
      <c r="N252" s="7" t="str">
        <f>IF(NOT(AND(J252="",L252="")),IF(OR(AND(L252&lt;&gt;"",NOT(ISNUMBER(L252))),IFERROR(MOD(L252,1),1)&gt;0,AND(ISNUMBER(L252),OR(L252&lt;0,L252&gt;95))),"Введите целое число от 0 до 95",IF(OR(AND(J252&lt;&gt;"",NOT(ISNUMBER(J252))),IFERROR(MOD(J252,1),1)&gt;0,AND(ISNUMBER(J252),OR(J252&lt;50,J252&gt;20000000))),"Введите целое число от 50 до 20000000",IF(NOT(ABS(IFERROR(VALUE(LEFT(M252,FIND("-",M252)-1)),M252)*100-(2500+2000000000)/2)&lt;=ABS(2500-2000000000)/2),"Цена со скидкой должна быть от 25 до 20000000",IF(IFERROR(VALUE(LEFT(M252,FIND("-",M252)-1)),M252)*229&lt;38500,"Вы уменьшили цену в несколько раз, товар попадет в карантин цен",IF(AND(IFERROR(VALUE(I252),0)=0,ISNUMBER(J252),OR(J252&lt;226,ABS(IFERROR(VALUE(LEFT(M252,FIND("-",M252)-1)),M252))*100&lt;22600)),"Проверьте цену товара. Большинство товаров в выбранной категории стоят дороже 226",""))))),"")</f>
      </c>
    </row>
    <row r="253">
      <c r="A253" s="2" t="inlineStr">
        <is>
          <t>VitalEmb</t>
        </is>
      </c>
      <c r="B253" s="2" t="inlineStr">
        <is>
          <t>Декор для одежды</t>
        </is>
      </c>
      <c r="C253" s="2">
        <v>588964049</v>
      </c>
      <c r="D253" s="2" t="inlineStr">
        <is>
          <t>pzngol0032_pzol0008_222061</t>
        </is>
      </c>
      <c r="E253" s="2" t="inlineStr">
        <is>
          <t>2047011567076</t>
        </is>
      </c>
      <c r="F253" s="2">
        <v>10</v>
      </c>
      <c r="G253" s="2">
        <v>0</v>
      </c>
      <c r="H253" s="2">
        <v>999</v>
      </c>
      <c r="I253" s="2" t="inlineStr">
        <is>
          <t>1100</t>
        </is>
      </c>
      <c r="J253" s="4"/>
      <c r="K253" s="2">
        <v>53</v>
      </c>
      <c r="L253" s="6"/>
      <c r="M253" s="2" t="str">
        <f>IF(J253="",ROUND(I253*(1-IF(ISBLANK(L253),K253,L253)/100),2),ROUND(J253*(1-IF(ISBLANK(L253),K253,L253)/100),2))</f>
      </c>
      <c r="N253" s="7" t="str">
        <f>IF(NOT(AND(J253="",L253="")),IF(OR(AND(L253&lt;&gt;"",NOT(ISNUMBER(L253))),IFERROR(MOD(L253,1),1)&gt;0,AND(ISNUMBER(L253),OR(L253&lt;0,L253&gt;95))),"Введите целое число от 0 до 95",IF(OR(AND(J253&lt;&gt;"",NOT(ISNUMBER(J253))),IFERROR(MOD(J253,1),1)&gt;0,AND(ISNUMBER(J253),OR(J253&lt;50,J253&gt;20000000))),"Введите целое число от 50 до 20000000",IF(NOT(ABS(IFERROR(VALUE(LEFT(M253,FIND("-",M253)-1)),M253)*100-(2500+2000000000)/2)&lt;=ABS(2500-2000000000)/2),"Цена со скидкой должна быть от 25 до 20000000",IF(IFERROR(VALUE(LEFT(M253,FIND("-",M253)-1)),M253)*229&lt;51700,"Вы уменьшили цену в несколько раз, товар попадет в карантин цен",IF(AND(IFERROR(VALUE(I253),0)=0,ISNUMBER(J253),OR(J253&lt;226,ABS(IFERROR(VALUE(LEFT(M253,FIND("-",M253)-1)),M253))*100&lt;22600)),"Проверьте цену товара. Большинство товаров в выбранной категории стоят дороже 226",""))))),"")</f>
      </c>
    </row>
    <row r="254">
      <c r="A254" s="2" t="inlineStr">
        <is>
          <t>VitalEmb</t>
        </is>
      </c>
      <c r="B254" s="2" t="inlineStr">
        <is>
          <t>Декор для одежды</t>
        </is>
      </c>
      <c r="C254" s="2">
        <v>655897451</v>
      </c>
      <c r="D254" s="2" t="inlineStr">
        <is>
          <t>slkmng0002_form0048_222507</t>
        </is>
      </c>
      <c r="E254" s="2" t="inlineStr">
        <is>
          <t>2047519641131</t>
        </is>
      </c>
      <c r="F254" s="2">
        <v>3</v>
      </c>
      <c r="G254" s="2">
        <v>0</v>
      </c>
      <c r="H254" s="2">
        <v>39</v>
      </c>
      <c r="I254" s="2" t="inlineStr">
        <is>
          <t>1100</t>
        </is>
      </c>
      <c r="J254" s="4"/>
      <c r="K254" s="2">
        <v>53</v>
      </c>
      <c r="L254" s="6"/>
      <c r="M254" s="2" t="str">
        <f>IF(J254="",ROUND(I254*(1-IF(ISBLANK(L254),K254,L254)/100),2),ROUND(J254*(1-IF(ISBLANK(L254),K254,L254)/100),2))</f>
      </c>
      <c r="N254" s="7" t="str">
        <f>IF(NOT(AND(J254="",L254="")),IF(OR(AND(L254&lt;&gt;"",NOT(ISNUMBER(L254))),IFERROR(MOD(L254,1),1)&gt;0,AND(ISNUMBER(L254),OR(L254&lt;0,L254&gt;95))),"Введите целое число от 0 до 95",IF(OR(AND(J254&lt;&gt;"",NOT(ISNUMBER(J254))),IFERROR(MOD(J254,1),1)&gt;0,AND(ISNUMBER(J254),OR(J254&lt;50,J254&gt;20000000))),"Введите целое число от 50 до 20000000",IF(NOT(ABS(IFERROR(VALUE(LEFT(M254,FIND("-",M254)-1)),M254)*100-(2500+2000000000)/2)&lt;=ABS(2500-2000000000)/2),"Цена со скидкой должна быть от 25 до 20000000",IF(IFERROR(VALUE(LEFT(M254,FIND("-",M254)-1)),M254)*229&lt;51700,"Вы уменьшили цену в несколько раз, товар попадет в карантин цен",IF(AND(IFERROR(VALUE(I254),0)=0,ISNUMBER(J254),OR(J254&lt;226,ABS(IFERROR(VALUE(LEFT(M254,FIND("-",M254)-1)),M254))*100&lt;22600)),"Проверьте цену товара. Большинство товаров в выбранной категории стоят дороже 226",""))))),"")</f>
      </c>
    </row>
    <row r="255">
      <c r="A255" s="2" t="inlineStr">
        <is>
          <t/>
        </is>
      </c>
      <c r="B255" s="2" t="inlineStr">
        <is>
          <t>Декор для одежды</t>
        </is>
      </c>
      <c r="C255" s="2">
        <v>760431943</v>
      </c>
      <c r="D255" s="2" t="inlineStr">
        <is>
          <t>svopict0035</t>
        </is>
      </c>
      <c r="E255" s="2" t="inlineStr">
        <is>
          <t>2048370818236</t>
        </is>
      </c>
      <c r="F255" s="2">
        <v>29</v>
      </c>
      <c r="G255" s="2">
        <v>0</v>
      </c>
      <c r="H255" s="2">
        <v>155</v>
      </c>
      <c r="I255" s="2" t="inlineStr">
        <is>
          <t>1100</t>
        </is>
      </c>
      <c r="J255" s="4"/>
      <c r="K255" s="2">
        <v>53</v>
      </c>
      <c r="L255" s="6"/>
      <c r="M255" s="2" t="str">
        <f>IF(J255="",ROUND(I255*(1-IF(ISBLANK(L255),K255,L255)/100),2),ROUND(J255*(1-IF(ISBLANK(L255),K255,L255)/100),2))</f>
      </c>
      <c r="N255" s="7" t="str">
        <f>IF(NOT(AND(J255="",L255="")),IF(OR(AND(L255&lt;&gt;"",NOT(ISNUMBER(L255))),IFERROR(MOD(L255,1),1)&gt;0,AND(ISNUMBER(L255),OR(L255&lt;0,L255&gt;95))),"Введите целое число от 0 до 95",IF(OR(AND(J255&lt;&gt;"",NOT(ISNUMBER(J255))),IFERROR(MOD(J255,1),1)&gt;0,AND(ISNUMBER(J255),OR(J255&lt;50,J255&gt;20000000))),"Введите целое число от 50 до 20000000",IF(NOT(ABS(IFERROR(VALUE(LEFT(M255,FIND("-",M255)-1)),M255)*100-(2500+2000000000)/2)&lt;=ABS(2500-2000000000)/2),"Цена со скидкой должна быть от 25 до 20000000",IF(IFERROR(VALUE(LEFT(M255,FIND("-",M255)-1)),M255)*229&lt;51700,"Вы уменьшили цену в несколько раз, товар попадет в карантин цен",IF(AND(IFERROR(VALUE(I255),0)=0,ISNUMBER(J255),OR(J255&lt;226,ABS(IFERROR(VALUE(LEFT(M255,FIND("-",M255)-1)),M255))*100&lt;22600)),"Проверьте цену товара. Большинство товаров в выбранной категории стоят дороже 226",""))))),"")</f>
      </c>
    </row>
    <row r="256">
      <c r="A256" s="2" t="inlineStr">
        <is>
          <t>VitalEmb</t>
        </is>
      </c>
      <c r="B256" s="2" t="inlineStr">
        <is>
          <t>Декор для одежды</t>
        </is>
      </c>
      <c r="C256" s="2">
        <v>591275965</v>
      </c>
      <c r="D256" s="2" t="inlineStr">
        <is>
          <t>fsonr0001_form0006_010122828011234</t>
        </is>
      </c>
      <c r="E256" s="2" t="inlineStr">
        <is>
          <t>2047032003553</t>
        </is>
      </c>
      <c r="F256" s="2">
        <v>10</v>
      </c>
      <c r="G256" s="2">
        <v>0</v>
      </c>
      <c r="H256" s="2">
        <v>999</v>
      </c>
      <c r="I256" s="2" t="inlineStr">
        <is>
          <t>1100</t>
        </is>
      </c>
      <c r="J256" s="4"/>
      <c r="K256" s="2">
        <v>55</v>
      </c>
      <c r="L256" s="6"/>
      <c r="M256" s="2" t="str">
        <f>IF(J256="",ROUND(I256*(1-IF(ISBLANK(L256),K256,L256)/100),2),ROUND(J256*(1-IF(ISBLANK(L256),K256,L256)/100),2))</f>
      </c>
      <c r="N256" s="7" t="str">
        <f>IF(NOT(AND(J256="",L256="")),IF(OR(AND(L256&lt;&gt;"",NOT(ISNUMBER(L256))),IFERROR(MOD(L256,1),1)&gt;0,AND(ISNUMBER(L256),OR(L256&lt;0,L256&gt;95))),"Введите целое число от 0 до 95",IF(OR(AND(J256&lt;&gt;"",NOT(ISNUMBER(J256))),IFERROR(MOD(J256,1),1)&gt;0,AND(ISNUMBER(J256),OR(J256&lt;50,J256&gt;20000000))),"Введите целое число от 50 до 20000000",IF(NOT(ABS(IFERROR(VALUE(LEFT(M256,FIND("-",M256)-1)),M256)*100-(2500+2000000000)/2)&lt;=ABS(2500-2000000000)/2),"Цена со скидкой должна быть от 25 до 20000000",IF(IFERROR(VALUE(LEFT(M256,FIND("-",M256)-1)),M256)*229&lt;49499,"Вы уменьшили цену в несколько раз, товар попадет в карантин цен",IF(AND(IFERROR(VALUE(I256),0)=0,ISNUMBER(J256),OR(J256&lt;226,ABS(IFERROR(VALUE(LEFT(M256,FIND("-",M256)-1)),M256))*100&lt;22600)),"Проверьте цену товара. Большинство товаров в выбранной категории стоят дороже 226",""))))),"")</f>
      </c>
    </row>
    <row r="257">
      <c r="A257" s="2" t="inlineStr">
        <is>
          <t>VitalEmb</t>
        </is>
      </c>
      <c r="B257" s="2" t="inlineStr">
        <is>
          <t>Декор для одежды</t>
        </is>
      </c>
      <c r="C257" s="2">
        <v>655884953</v>
      </c>
      <c r="D257" s="2" t="inlineStr">
        <is>
          <t>chvkpict0004_222097</t>
        </is>
      </c>
      <c r="E257" s="2" t="inlineStr">
        <is>
          <t>2047519592952</t>
        </is>
      </c>
      <c r="F257" s="2">
        <v>11</v>
      </c>
      <c r="G257" s="2">
        <v>0</v>
      </c>
      <c r="H257" s="2">
        <v>122</v>
      </c>
      <c r="I257" s="2" t="inlineStr">
        <is>
          <t>1100</t>
        </is>
      </c>
      <c r="J257" s="4"/>
      <c r="K257" s="2">
        <v>53</v>
      </c>
      <c r="L257" s="6"/>
      <c r="M257" s="2" t="str">
        <f>IF(J257="",ROUND(I257*(1-IF(ISBLANK(L257),K257,L257)/100),2),ROUND(J257*(1-IF(ISBLANK(L257),K257,L257)/100),2))</f>
      </c>
      <c r="N257" s="7" t="str">
        <f>IF(NOT(AND(J257="",L257="")),IF(OR(AND(L257&lt;&gt;"",NOT(ISNUMBER(L257))),IFERROR(MOD(L257,1),1)&gt;0,AND(ISNUMBER(L257),OR(L257&lt;0,L257&gt;95))),"Введите целое число от 0 до 95",IF(OR(AND(J257&lt;&gt;"",NOT(ISNUMBER(J257))),IFERROR(MOD(J257,1),1)&gt;0,AND(ISNUMBER(J257),OR(J257&lt;50,J257&gt;20000000))),"Введите целое число от 50 до 20000000",IF(NOT(ABS(IFERROR(VALUE(LEFT(M257,FIND("-",M257)-1)),M257)*100-(2500+2000000000)/2)&lt;=ABS(2500-2000000000)/2),"Цена со скидкой должна быть от 25 до 20000000",IF(IFERROR(VALUE(LEFT(M257,FIND("-",M257)-1)),M257)*229&lt;51700,"Вы уменьшили цену в несколько раз, товар попадет в карантин цен",IF(AND(IFERROR(VALUE(I257),0)=0,ISNUMBER(J257),OR(J257&lt;226,ABS(IFERROR(VALUE(LEFT(M257,FIND("-",M257)-1)),M257))*100&lt;22600)),"Проверьте цену товара. Большинство товаров в выбранной категории стоят дороже 226",""))))),"")</f>
      </c>
    </row>
    <row r="258">
      <c r="A258" s="2" t="inlineStr">
        <is>
          <t>VitalEmb</t>
        </is>
      </c>
      <c r="B258" s="2" t="inlineStr">
        <is>
          <t>Декор для одежды</t>
        </is>
      </c>
      <c r="C258" s="2">
        <v>709493931</v>
      </c>
      <c r="D258" s="2" t="inlineStr">
        <is>
          <t>razpict0041</t>
        </is>
      </c>
      <c r="E258" s="2" t="inlineStr">
        <is>
          <t>2047919916020</t>
        </is>
      </c>
      <c r="F258" s="2">
        <v>11</v>
      </c>
      <c r="G258" s="2">
        <v>0</v>
      </c>
      <c r="H258" s="2">
        <v>999</v>
      </c>
      <c r="I258" s="2" t="inlineStr">
        <is>
          <t>1100</t>
        </is>
      </c>
      <c r="J258" s="4"/>
      <c r="K258" s="2">
        <v>57</v>
      </c>
      <c r="L258" s="6"/>
      <c r="M258" s="2" t="str">
        <f>IF(J258="",ROUND(I258*(1-IF(ISBLANK(L258),K258,L258)/100),2),ROUND(J258*(1-IF(ISBLANK(L258),K258,L258)/100),2))</f>
      </c>
      <c r="N258" s="7" t="str">
        <f>IF(NOT(AND(J258="",L258="")),IF(OR(AND(L258&lt;&gt;"",NOT(ISNUMBER(L258))),IFERROR(MOD(L258,1),1)&gt;0,AND(ISNUMBER(L258),OR(L258&lt;0,L258&gt;95))),"Введите целое число от 0 до 95",IF(OR(AND(J258&lt;&gt;"",NOT(ISNUMBER(J258))),IFERROR(MOD(J258,1),1)&gt;0,AND(ISNUMBER(J258),OR(J258&lt;50,J258&gt;20000000))),"Введите целое число от 50 до 20000000",IF(NOT(ABS(IFERROR(VALUE(LEFT(M258,FIND("-",M258)-1)),M258)*100-(2500+2000000000)/2)&lt;=ABS(2500-2000000000)/2),"Цена со скидкой должна быть от 25 до 20000000",IF(IFERROR(VALUE(LEFT(M258,FIND("-",M258)-1)),M258)*229&lt;47300,"Вы уменьшили цену в несколько раз, товар попадет в карантин цен",IF(AND(IFERROR(VALUE(I258),0)=0,ISNUMBER(J258),OR(J258&lt;226,ABS(IFERROR(VALUE(LEFT(M258,FIND("-",M258)-1)),M258))*100&lt;22600)),"Проверьте цену товара. Большинство товаров в выбранной категории стоят дороже 226",""))))),"")</f>
      </c>
    </row>
    <row r="259">
      <c r="A259" s="2" t="inlineStr">
        <is>
          <t>VitalEmb</t>
        </is>
      </c>
      <c r="B259" s="2" t="inlineStr">
        <is>
          <t>Декор для одежды</t>
        </is>
      </c>
      <c r="C259" s="2">
        <v>648285479</v>
      </c>
      <c r="D259" s="2" t="inlineStr">
        <is>
          <t>shtpict0003_222293</t>
        </is>
      </c>
      <c r="E259" s="2" t="inlineStr">
        <is>
          <t>2047478933506</t>
        </is>
      </c>
      <c r="F259" s="2">
        <v>16</v>
      </c>
      <c r="G259" s="2">
        <v>0</v>
      </c>
      <c r="H259" s="2">
        <v>250</v>
      </c>
      <c r="I259" s="2" t="inlineStr">
        <is>
          <t>1100</t>
        </is>
      </c>
      <c r="J259" s="4"/>
      <c r="K259" s="2">
        <v>57</v>
      </c>
      <c r="L259" s="6"/>
      <c r="M259" s="2" t="str">
        <f>IF(J259="",ROUND(I259*(1-IF(ISBLANK(L259),K259,L259)/100),2),ROUND(J259*(1-IF(ISBLANK(L259),K259,L259)/100),2))</f>
      </c>
      <c r="N259" s="7" t="str">
        <f>IF(NOT(AND(J259="",L259="")),IF(OR(AND(L259&lt;&gt;"",NOT(ISNUMBER(L259))),IFERROR(MOD(L259,1),1)&gt;0,AND(ISNUMBER(L259),OR(L259&lt;0,L259&gt;95))),"Введите целое число от 0 до 95",IF(OR(AND(J259&lt;&gt;"",NOT(ISNUMBER(J259))),IFERROR(MOD(J259,1),1)&gt;0,AND(ISNUMBER(J259),OR(J259&lt;50,J259&gt;20000000))),"Введите целое число от 50 до 20000000",IF(NOT(ABS(IFERROR(VALUE(LEFT(M259,FIND("-",M259)-1)),M259)*100-(2500+2000000000)/2)&lt;=ABS(2500-2000000000)/2),"Цена со скидкой должна быть от 25 до 20000000",IF(IFERROR(VALUE(LEFT(M259,FIND("-",M259)-1)),M259)*229&lt;47300,"Вы уменьшили цену в несколько раз, товар попадет в карантин цен",IF(AND(IFERROR(VALUE(I259),0)=0,ISNUMBER(J259),OR(J259&lt;226,ABS(IFERROR(VALUE(LEFT(M259,FIND("-",M259)-1)),M259))*100&lt;22600)),"Проверьте цену товара. Большинство товаров в выбранной категории стоят дороже 226",""))))),"")</f>
      </c>
    </row>
    <row r="260">
      <c r="A260" s="2" t="inlineStr">
        <is>
          <t>VitalEmb</t>
        </is>
      </c>
      <c r="B260" s="2" t="inlineStr">
        <is>
          <t>Декор для одежды</t>
        </is>
      </c>
      <c r="C260" s="2">
        <v>772604385</v>
      </c>
      <c r="D260" s="2" t="inlineStr">
        <is>
          <t>chvkpict0001</t>
        </is>
      </c>
      <c r="E260" s="2" t="inlineStr">
        <is>
          <t>2048490148800</t>
        </is>
      </c>
      <c r="F260" s="2">
        <v>17</v>
      </c>
      <c r="G260" s="2">
        <v>0</v>
      </c>
      <c r="H260" s="2">
        <v>192</v>
      </c>
      <c r="I260" s="2" t="inlineStr">
        <is>
          <t>1100</t>
        </is>
      </c>
      <c r="J260" s="4"/>
      <c r="K260" s="2">
        <v>52</v>
      </c>
      <c r="L260" s="6"/>
      <c r="M260" s="2" t="str">
        <f>IF(J260="",ROUND(I260*(1-IF(ISBLANK(L260),K260,L260)/100),2),ROUND(J260*(1-IF(ISBLANK(L260),K260,L260)/100),2))</f>
      </c>
      <c r="N260" s="7" t="str">
        <f>IF(NOT(AND(J260="",L260="")),IF(OR(AND(L260&lt;&gt;"",NOT(ISNUMBER(L260))),IFERROR(MOD(L260,1),1)&gt;0,AND(ISNUMBER(L260),OR(L260&lt;0,L260&gt;95))),"Введите целое число от 0 до 95",IF(OR(AND(J260&lt;&gt;"",NOT(ISNUMBER(J260))),IFERROR(MOD(J260,1),1)&gt;0,AND(ISNUMBER(J260),OR(J260&lt;50,J260&gt;20000000))),"Введите целое число от 50 до 20000000",IF(NOT(ABS(IFERROR(VALUE(LEFT(M260,FIND("-",M260)-1)),M260)*100-(2500+2000000000)/2)&lt;=ABS(2500-2000000000)/2),"Цена со скидкой должна быть от 25 до 20000000",IF(IFERROR(VALUE(LEFT(M260,FIND("-",M260)-1)),M260)*229&lt;52800,"Вы уменьшили цену в несколько раз, товар попадет в карантин цен",IF(AND(IFERROR(VALUE(I260),0)=0,ISNUMBER(J260),OR(J260&lt;226,ABS(IFERROR(VALUE(LEFT(M260,FIND("-",M260)-1)),M260))*100&lt;22600)),"Проверьте цену товара. Большинство товаров в выбранной категории стоят дороже 226",""))))),"")</f>
      </c>
    </row>
    <row r="261">
      <c r="A261" s="2" t="inlineStr">
        <is>
          <t>VitalEmb</t>
        </is>
      </c>
      <c r="B261" s="2" t="inlineStr">
        <is>
          <t>Декор для одежды</t>
        </is>
      </c>
      <c r="C261" s="2">
        <v>662763015</v>
      </c>
      <c r="D261" s="2" t="inlineStr">
        <is>
          <t>razpict0017</t>
        </is>
      </c>
      <c r="E261" s="2" t="inlineStr">
        <is>
          <t>2047550772702</t>
        </is>
      </c>
      <c r="F261" s="2">
        <v>18</v>
      </c>
      <c r="G261" s="2">
        <v>0</v>
      </c>
      <c r="H261" s="2">
        <v>999</v>
      </c>
      <c r="I261" s="2" t="inlineStr">
        <is>
          <t>1100</t>
        </is>
      </c>
      <c r="J261" s="4"/>
      <c r="K261" s="2">
        <v>58</v>
      </c>
      <c r="L261" s="6"/>
      <c r="M261" s="2" t="str">
        <f>IF(J261="",ROUND(I261*(1-IF(ISBLANK(L261),K261,L261)/100),2),ROUND(J261*(1-IF(ISBLANK(L261),K261,L261)/100),2))</f>
      </c>
      <c r="N261" s="7" t="str">
        <f>IF(NOT(AND(J261="",L261="")),IF(OR(AND(L261&lt;&gt;"",NOT(ISNUMBER(L261))),IFERROR(MOD(L261,1),1)&gt;0,AND(ISNUMBER(L261),OR(L261&lt;0,L261&gt;95))),"Введите целое число от 0 до 95",IF(OR(AND(J261&lt;&gt;"",NOT(ISNUMBER(J261))),IFERROR(MOD(J261,1),1)&gt;0,AND(ISNUMBER(J261),OR(J261&lt;50,J261&gt;20000000))),"Введите целое число от 50 до 20000000",IF(NOT(ABS(IFERROR(VALUE(LEFT(M261,FIND("-",M261)-1)),M261)*100-(2500+2000000000)/2)&lt;=ABS(2500-2000000000)/2),"Цена со скидкой должна быть от 25 до 20000000",IF(IFERROR(VALUE(LEFT(M261,FIND("-",M261)-1)),M261)*229&lt;46200,"Вы уменьшили цену в несколько раз, товар попадет в карантин цен",IF(AND(IFERROR(VALUE(I261),0)=0,ISNUMBER(J261),OR(J261&lt;226,ABS(IFERROR(VALUE(LEFT(M261,FIND("-",M261)-1)),M261))*100&lt;22600)),"Проверьте цену товара. Большинство товаров в выбранной категории стоят дороже 226",""))))),"")</f>
      </c>
    </row>
    <row r="262">
      <c r="A262" s="2" t="inlineStr">
        <is>
          <t>VitalEmb</t>
        </is>
      </c>
      <c r="B262" s="2" t="inlineStr">
        <is>
          <t>Декор для одежды</t>
        </is>
      </c>
      <c r="C262" s="2">
        <v>591243184</v>
      </c>
      <c r="D262" s="2" t="inlineStr">
        <is>
          <t>svopict0001_pict0004_222435</t>
        </is>
      </c>
      <c r="E262" s="2" t="inlineStr">
        <is>
          <t>2047031522789</t>
        </is>
      </c>
      <c r="F262" s="2">
        <v>41</v>
      </c>
      <c r="G262" s="2">
        <v>0</v>
      </c>
      <c r="H262" s="2">
        <v>999</v>
      </c>
      <c r="I262" s="2" t="inlineStr">
        <is>
          <t>1100</t>
        </is>
      </c>
      <c r="J262" s="4"/>
      <c r="K262" s="2">
        <v>63</v>
      </c>
      <c r="L262" s="6"/>
      <c r="M262" s="2" t="str">
        <f>IF(J262="",ROUND(I262*(1-IF(ISBLANK(L262),K262,L262)/100),2),ROUND(J262*(1-IF(ISBLANK(L262),K262,L262)/100),2))</f>
      </c>
      <c r="N262" s="7" t="str">
        <f>IF(NOT(AND(J262="",L262="")),IF(OR(AND(L262&lt;&gt;"",NOT(ISNUMBER(L262))),IFERROR(MOD(L262,1),1)&gt;0,AND(ISNUMBER(L262),OR(L262&lt;0,L262&gt;95))),"Введите целое число от 0 до 95",IF(OR(AND(J262&lt;&gt;"",NOT(ISNUMBER(J262))),IFERROR(MOD(J262,1),1)&gt;0,AND(ISNUMBER(J262),OR(J262&lt;50,J262&gt;20000000))),"Введите целое число от 50 до 20000000",IF(NOT(ABS(IFERROR(VALUE(LEFT(M262,FIND("-",M262)-1)),M262)*100-(2500+2000000000)/2)&lt;=ABS(2500-2000000000)/2),"Цена со скидкой должна быть от 25 до 20000000",IF(IFERROR(VALUE(LEFT(M262,FIND("-",M262)-1)),M262)*229&lt;40700,"Вы уменьшили цену в несколько раз, товар попадет в карантин цен",IF(AND(IFERROR(VALUE(I262),0)=0,ISNUMBER(J262),OR(J262&lt;226,ABS(IFERROR(VALUE(LEFT(M262,FIND("-",M262)-1)),M262))*100&lt;22600)),"Проверьте цену товара. Большинство товаров в выбранной категории стоят дороже 226",""))))),"")</f>
      </c>
    </row>
    <row r="263">
      <c r="A263" s="2" t="inlineStr">
        <is>
          <t>VitalEmb</t>
        </is>
      </c>
      <c r="B263" s="2" t="inlineStr">
        <is>
          <t>Декор для одежды</t>
        </is>
      </c>
      <c r="C263" s="2">
        <v>707805912</v>
      </c>
      <c r="D263" s="2" t="inlineStr">
        <is>
          <t>rosgkit20003</t>
        </is>
      </c>
      <c r="E263" s="2" t="inlineStr">
        <is>
          <t>2047903507227</t>
        </is>
      </c>
      <c r="F263" s="2">
        <v>10</v>
      </c>
      <c r="G263" s="2">
        <v>0</v>
      </c>
      <c r="H263" s="2">
        <v>999</v>
      </c>
      <c r="I263" s="2" t="inlineStr">
        <is>
          <t>2000</t>
        </is>
      </c>
      <c r="J263" s="4"/>
      <c r="K263" s="2">
        <v>57</v>
      </c>
      <c r="L263" s="6"/>
      <c r="M263" s="2" t="str">
        <f>IF(J263="",ROUND(I263*(1-IF(ISBLANK(L263),K263,L263)/100),2),ROUND(J263*(1-IF(ISBLANK(L263),K263,L263)/100),2))</f>
      </c>
      <c r="N263" s="7" t="str">
        <f>IF(NOT(AND(J263="",L263="")),IF(OR(AND(L263&lt;&gt;"",NOT(ISNUMBER(L263))),IFERROR(MOD(L263,1),1)&gt;0,AND(ISNUMBER(L263),OR(L263&lt;0,L263&gt;95))),"Введите целое число от 0 до 95",IF(OR(AND(J263&lt;&gt;"",NOT(ISNUMBER(J263))),IFERROR(MOD(J263,1),1)&gt;0,AND(ISNUMBER(J263),OR(J263&lt;50,J263&gt;20000000))),"Введите целое число от 50 до 20000000",IF(NOT(ABS(IFERROR(VALUE(LEFT(M263,FIND("-",M263)-1)),M263)*100-(2500+2000000000)/2)&lt;=ABS(2500-2000000000)/2),"Цена со скидкой должна быть от 25 до 20000000",IF(IFERROR(VALUE(LEFT(M263,FIND("-",M263)-1)),M263)*229&lt;86000,"Вы уменьшили цену в несколько раз, товар попадет в карантин цен",IF(AND(IFERROR(VALUE(I263),0)=0,ISNUMBER(J263),OR(J263&lt;226,ABS(IFERROR(VALUE(LEFT(M263,FIND("-",M263)-1)),M263))*100&lt;22600)),"Проверьте цену товара. Большинство товаров в выбранной категории стоят дороже 226",""))))),"")</f>
      </c>
    </row>
    <row r="264">
      <c r="A264" s="2" t="inlineStr">
        <is>
          <t>VitalEmb</t>
        </is>
      </c>
      <c r="B264" s="2" t="inlineStr">
        <is>
          <t>Декор для одежды</t>
        </is>
      </c>
      <c r="C264" s="2">
        <v>711814895</v>
      </c>
      <c r="D264" s="2" t="inlineStr">
        <is>
          <t>shtpict0015</t>
        </is>
      </c>
      <c r="E264" s="2" t="inlineStr">
        <is>
          <t>2047944887692</t>
        </is>
      </c>
      <c r="F264" s="2">
        <v>31</v>
      </c>
      <c r="G264" s="2">
        <v>0</v>
      </c>
      <c r="H264" s="2">
        <v>999</v>
      </c>
      <c r="I264" s="2" t="inlineStr">
        <is>
          <t>1100</t>
        </is>
      </c>
      <c r="J264" s="4"/>
      <c r="K264" s="2">
        <v>57</v>
      </c>
      <c r="L264" s="6"/>
      <c r="M264" s="2" t="str">
        <f>IF(J264="",ROUND(I264*(1-IF(ISBLANK(L264),K264,L264)/100),2),ROUND(J264*(1-IF(ISBLANK(L264),K264,L264)/100),2))</f>
      </c>
      <c r="N264" s="7" t="str">
        <f>IF(NOT(AND(J264="",L264="")),IF(OR(AND(L264&lt;&gt;"",NOT(ISNUMBER(L264))),IFERROR(MOD(L264,1),1)&gt;0,AND(ISNUMBER(L264),OR(L264&lt;0,L264&gt;95))),"Введите целое число от 0 до 95",IF(OR(AND(J264&lt;&gt;"",NOT(ISNUMBER(J264))),IFERROR(MOD(J264,1),1)&gt;0,AND(ISNUMBER(J264),OR(J264&lt;50,J264&gt;20000000))),"Введите целое число от 50 до 20000000",IF(NOT(ABS(IFERROR(VALUE(LEFT(M264,FIND("-",M264)-1)),M264)*100-(2500+2000000000)/2)&lt;=ABS(2500-2000000000)/2),"Цена со скидкой должна быть от 25 до 20000000",IF(IFERROR(VALUE(LEFT(M264,FIND("-",M264)-1)),M264)*229&lt;47300,"Вы уменьшили цену в несколько раз, товар попадет в карантин цен",IF(AND(IFERROR(VALUE(I264),0)=0,ISNUMBER(J264),OR(J264&lt;226,ABS(IFERROR(VALUE(LEFT(M264,FIND("-",M264)-1)),M264))*100&lt;22600)),"Проверьте цену товара. Большинство товаров в выбранной категории стоят дороже 226",""))))),"")</f>
      </c>
    </row>
    <row r="265">
      <c r="A265" s="2" t="inlineStr">
        <is>
          <t>VitalEmb</t>
        </is>
      </c>
      <c r="B265" s="2" t="inlineStr">
        <is>
          <t>Декор для одежды</t>
        </is>
      </c>
      <c r="C265" s="2">
        <v>605082149</v>
      </c>
      <c r="D265" s="2" t="inlineStr">
        <is>
          <t>razpict0012_pict0147</t>
        </is>
      </c>
      <c r="E265" s="2" t="inlineStr">
        <is>
          <t>2047170404892</t>
        </is>
      </c>
      <c r="F265" s="2">
        <v>7</v>
      </c>
      <c r="G265" s="2">
        <v>0</v>
      </c>
      <c r="H265" s="2">
        <v>999</v>
      </c>
      <c r="I265" s="2" t="inlineStr">
        <is>
          <t>1100</t>
        </is>
      </c>
      <c r="J265" s="4"/>
      <c r="K265" s="2">
        <v>62</v>
      </c>
      <c r="L265" s="6"/>
      <c r="M265" s="2" t="str">
        <f>IF(J265="",ROUND(I265*(1-IF(ISBLANK(L265),K265,L265)/100),2),ROUND(J265*(1-IF(ISBLANK(L265),K265,L265)/100),2))</f>
      </c>
      <c r="N265" s="7" t="str">
        <f>IF(NOT(AND(J265="",L265="")),IF(OR(AND(L265&lt;&gt;"",NOT(ISNUMBER(L265))),IFERROR(MOD(L265,1),1)&gt;0,AND(ISNUMBER(L265),OR(L265&lt;0,L265&gt;95))),"Введите целое число от 0 до 95",IF(OR(AND(J265&lt;&gt;"",NOT(ISNUMBER(J265))),IFERROR(MOD(J265,1),1)&gt;0,AND(ISNUMBER(J265),OR(J265&lt;50,J265&gt;20000000))),"Введите целое число от 50 до 20000000",IF(NOT(ABS(IFERROR(VALUE(LEFT(M265,FIND("-",M265)-1)),M265)*100-(2500+2000000000)/2)&lt;=ABS(2500-2000000000)/2),"Цена со скидкой должна быть от 25 до 20000000",IF(IFERROR(VALUE(LEFT(M265,FIND("-",M265)-1)),M265)*229&lt;41800,"Вы уменьшили цену в несколько раз, товар попадет в карантин цен",IF(AND(IFERROR(VALUE(I265),0)=0,ISNUMBER(J265),OR(J265&lt;226,ABS(IFERROR(VALUE(LEFT(M265,FIND("-",M265)-1)),M265))*100&lt;22600)),"Проверьте цену товара. Большинство товаров в выбранной категории стоят дороже 226",""))))),"")</f>
      </c>
    </row>
    <row r="266">
      <c r="A266" s="2" t="inlineStr">
        <is>
          <t>VitalEmb</t>
        </is>
      </c>
      <c r="B266" s="2" t="inlineStr">
        <is>
          <t>Декор для одежды</t>
        </is>
      </c>
      <c r="C266" s="2">
        <v>709496939</v>
      </c>
      <c r="D266" s="2" t="inlineStr">
        <is>
          <t>shtpict0013</t>
        </is>
      </c>
      <c r="E266" s="2" t="inlineStr">
        <is>
          <t>2047919962652</t>
        </is>
      </c>
      <c r="F266" s="2">
        <v>14</v>
      </c>
      <c r="G266" s="2">
        <v>0</v>
      </c>
      <c r="H266" s="2">
        <v>999</v>
      </c>
      <c r="I266" s="2" t="inlineStr">
        <is>
          <t>1100</t>
        </is>
      </c>
      <c r="J266" s="4"/>
      <c r="K266" s="2">
        <v>53</v>
      </c>
      <c r="L266" s="6"/>
      <c r="M266" s="2" t="str">
        <f>IF(J266="",ROUND(I266*(1-IF(ISBLANK(L266),K266,L266)/100),2),ROUND(J266*(1-IF(ISBLANK(L266),K266,L266)/100),2))</f>
      </c>
      <c r="N266" s="7" t="str">
        <f>IF(NOT(AND(J266="",L266="")),IF(OR(AND(L266&lt;&gt;"",NOT(ISNUMBER(L266))),IFERROR(MOD(L266,1),1)&gt;0,AND(ISNUMBER(L266),OR(L266&lt;0,L266&gt;95))),"Введите целое число от 0 до 95",IF(OR(AND(J266&lt;&gt;"",NOT(ISNUMBER(J266))),IFERROR(MOD(J266,1),1)&gt;0,AND(ISNUMBER(J266),OR(J266&lt;50,J266&gt;20000000))),"Введите целое число от 50 до 20000000",IF(NOT(ABS(IFERROR(VALUE(LEFT(M266,FIND("-",M266)-1)),M266)*100-(2500+2000000000)/2)&lt;=ABS(2500-2000000000)/2),"Цена со скидкой должна быть от 25 до 20000000",IF(IFERROR(VALUE(LEFT(M266,FIND("-",M266)-1)),M266)*229&lt;51700,"Вы уменьшили цену в несколько раз, товар попадет в карантин цен",IF(AND(IFERROR(VALUE(I266),0)=0,ISNUMBER(J266),OR(J266&lt;226,ABS(IFERROR(VALUE(LEFT(M266,FIND("-",M266)-1)),M266))*100&lt;22600)),"Проверьте цену товара. Большинство товаров в выбранной категории стоят дороже 226",""))))),"")</f>
      </c>
    </row>
    <row r="267">
      <c r="A267" s="2" t="inlineStr">
        <is>
          <t>VitalEmb</t>
        </is>
      </c>
      <c r="B267" s="2" t="inlineStr">
        <is>
          <t>Декор для одежды</t>
        </is>
      </c>
      <c r="C267" s="2">
        <v>711850890</v>
      </c>
      <c r="D267" s="2" t="inlineStr">
        <is>
          <t>razpict0047</t>
        </is>
      </c>
      <c r="E267" s="2" t="inlineStr">
        <is>
          <t>2047945294888</t>
        </is>
      </c>
      <c r="F267" s="2">
        <v>14</v>
      </c>
      <c r="G267" s="2">
        <v>0</v>
      </c>
      <c r="H267" s="2">
        <v>999</v>
      </c>
      <c r="I267" s="2" t="inlineStr">
        <is>
          <t>1100</t>
        </is>
      </c>
      <c r="J267" s="4"/>
      <c r="K267" s="2">
        <v>57</v>
      </c>
      <c r="L267" s="6"/>
      <c r="M267" s="2" t="str">
        <f>IF(J267="",ROUND(I267*(1-IF(ISBLANK(L267),K267,L267)/100),2),ROUND(J267*(1-IF(ISBLANK(L267),K267,L267)/100),2))</f>
      </c>
      <c r="N267" s="7" t="str">
        <f>IF(NOT(AND(J267="",L267="")),IF(OR(AND(L267&lt;&gt;"",NOT(ISNUMBER(L267))),IFERROR(MOD(L267,1),1)&gt;0,AND(ISNUMBER(L267),OR(L267&lt;0,L267&gt;95))),"Введите целое число от 0 до 95",IF(OR(AND(J267&lt;&gt;"",NOT(ISNUMBER(J267))),IFERROR(MOD(J267,1),1)&gt;0,AND(ISNUMBER(J267),OR(J267&lt;50,J267&gt;20000000))),"Введите целое число от 50 до 20000000",IF(NOT(ABS(IFERROR(VALUE(LEFT(M267,FIND("-",M267)-1)),M267)*100-(2500+2000000000)/2)&lt;=ABS(2500-2000000000)/2),"Цена со скидкой должна быть от 25 до 20000000",IF(IFERROR(VALUE(LEFT(M267,FIND("-",M267)-1)),M267)*229&lt;47300,"Вы уменьшили цену в несколько раз, товар попадет в карантин цен",IF(AND(IFERROR(VALUE(I267),0)=0,ISNUMBER(J267),OR(J267&lt;226,ABS(IFERROR(VALUE(LEFT(M267,FIND("-",M267)-1)),M267))*100&lt;22600)),"Проверьте цену товара. Большинство товаров в выбранной категории стоят дороже 226",""))))),"")</f>
      </c>
    </row>
    <row r="268">
      <c r="A268" s="2" t="inlineStr">
        <is>
          <t>VitalEmb</t>
        </is>
      </c>
      <c r="B268" s="2" t="inlineStr">
        <is>
          <t>Декор для одежды</t>
        </is>
      </c>
      <c r="C268" s="2">
        <v>593378161</v>
      </c>
      <c r="D268" s="2" t="inlineStr">
        <is>
          <t>chvkpict0013_pict0043_222098</t>
        </is>
      </c>
      <c r="E268" s="2" t="inlineStr">
        <is>
          <t>2047050127675</t>
        </is>
      </c>
      <c r="F268" s="2">
        <v>13</v>
      </c>
      <c r="G268" s="2">
        <v>0</v>
      </c>
      <c r="H268" s="2">
        <v>393</v>
      </c>
      <c r="I268" s="2" t="inlineStr">
        <is>
          <t>1100</t>
        </is>
      </c>
      <c r="J268" s="4"/>
      <c r="K268" s="2">
        <v>63</v>
      </c>
      <c r="L268" s="6"/>
      <c r="M268" s="2" t="str">
        <f>IF(J268="",ROUND(I268*(1-IF(ISBLANK(L268),K268,L268)/100),2),ROUND(J268*(1-IF(ISBLANK(L268),K268,L268)/100),2))</f>
      </c>
      <c r="N268" s="7" t="str">
        <f>IF(NOT(AND(J268="",L268="")),IF(OR(AND(L268&lt;&gt;"",NOT(ISNUMBER(L268))),IFERROR(MOD(L268,1),1)&gt;0,AND(ISNUMBER(L268),OR(L268&lt;0,L268&gt;95))),"Введите целое число от 0 до 95",IF(OR(AND(J268&lt;&gt;"",NOT(ISNUMBER(J268))),IFERROR(MOD(J268,1),1)&gt;0,AND(ISNUMBER(J268),OR(J268&lt;50,J268&gt;20000000))),"Введите целое число от 50 до 20000000",IF(NOT(ABS(IFERROR(VALUE(LEFT(M268,FIND("-",M268)-1)),M268)*100-(2500+2000000000)/2)&lt;=ABS(2500-2000000000)/2),"Цена со скидкой должна быть от 25 до 20000000",IF(IFERROR(VALUE(LEFT(M268,FIND("-",M268)-1)),M268)*229&lt;40700,"Вы уменьшили цену в несколько раз, товар попадет в карантин цен",IF(AND(IFERROR(VALUE(I268),0)=0,ISNUMBER(J268),OR(J268&lt;226,ABS(IFERROR(VALUE(LEFT(M268,FIND("-",M268)-1)),M268))*100&lt;22600)),"Проверьте цену товара. Большинство товаров в выбранной категории стоят дороже 226",""))))),"")</f>
      </c>
    </row>
    <row r="269">
      <c r="A269" s="2" t="inlineStr">
        <is>
          <t>VitalEmb</t>
        </is>
      </c>
      <c r="B269" s="2" t="inlineStr">
        <is>
          <t>Декор для одежды</t>
        </is>
      </c>
      <c r="C269" s="2">
        <v>605144097</v>
      </c>
      <c r="D269" s="2" t="inlineStr">
        <is>
          <t>razpict0013_pict0146</t>
        </is>
      </c>
      <c r="E269" s="2" t="inlineStr">
        <is>
          <t>2047171075282</t>
        </is>
      </c>
      <c r="F269" s="2">
        <v>15</v>
      </c>
      <c r="G269" s="2">
        <v>0</v>
      </c>
      <c r="H269" s="2">
        <v>999</v>
      </c>
      <c r="I269" s="2" t="inlineStr">
        <is>
          <t>1100</t>
        </is>
      </c>
      <c r="J269" s="4"/>
      <c r="K269" s="2">
        <v>63</v>
      </c>
      <c r="L269" s="6"/>
      <c r="M269" s="2" t="str">
        <f>IF(J269="",ROUND(I269*(1-IF(ISBLANK(L269),K269,L269)/100),2),ROUND(J269*(1-IF(ISBLANK(L269),K269,L269)/100),2))</f>
      </c>
      <c r="N269" s="7" t="str">
        <f>IF(NOT(AND(J269="",L269="")),IF(OR(AND(L269&lt;&gt;"",NOT(ISNUMBER(L269))),IFERROR(MOD(L269,1),1)&gt;0,AND(ISNUMBER(L269),OR(L269&lt;0,L269&gt;95))),"Введите целое число от 0 до 95",IF(OR(AND(J269&lt;&gt;"",NOT(ISNUMBER(J269))),IFERROR(MOD(J269,1),1)&gt;0,AND(ISNUMBER(J269),OR(J269&lt;50,J269&gt;20000000))),"Введите целое число от 50 до 20000000",IF(NOT(ABS(IFERROR(VALUE(LEFT(M269,FIND("-",M269)-1)),M269)*100-(2500+2000000000)/2)&lt;=ABS(2500-2000000000)/2),"Цена со скидкой должна быть от 25 до 20000000",IF(IFERROR(VALUE(LEFT(M269,FIND("-",M269)-1)),M269)*229&lt;40700,"Вы уменьшили цену в несколько раз, товар попадет в карантин цен",IF(AND(IFERROR(VALUE(I269),0)=0,ISNUMBER(J269),OR(J269&lt;226,ABS(IFERROR(VALUE(LEFT(M269,FIND("-",M269)-1)),M269))*100&lt;22600)),"Проверьте цену товара. Большинство товаров в выбранной категории стоят дороже 226",""))))),"")</f>
      </c>
    </row>
    <row r="270">
      <c r="A270" s="2" t="inlineStr">
        <is>
          <t>VitalEmb</t>
        </is>
      </c>
      <c r="B270" s="2" t="inlineStr">
        <is>
          <t>Декор для одежды</t>
        </is>
      </c>
      <c r="C270" s="2">
        <v>585917428</v>
      </c>
      <c r="D270" s="2" t="inlineStr">
        <is>
          <t>bplapict0001_pict0003_222306</t>
        </is>
      </c>
      <c r="E270" s="2" t="inlineStr">
        <is>
          <t>2046980475092</t>
        </is>
      </c>
      <c r="F270" s="2">
        <v>24</v>
      </c>
      <c r="G270" s="2">
        <v>0</v>
      </c>
      <c r="H270" s="2">
        <v>376</v>
      </c>
      <c r="I270" s="2" t="inlineStr">
        <is>
          <t>1100</t>
        </is>
      </c>
      <c r="J270" s="4"/>
      <c r="K270" s="2">
        <v>62</v>
      </c>
      <c r="L270" s="6"/>
      <c r="M270" s="2" t="str">
        <f>IF(J270="",ROUND(I270*(1-IF(ISBLANK(L270),K270,L270)/100),2),ROUND(J270*(1-IF(ISBLANK(L270),K270,L270)/100),2))</f>
      </c>
      <c r="N270" s="7" t="str">
        <f>IF(NOT(AND(J270="",L270="")),IF(OR(AND(L270&lt;&gt;"",NOT(ISNUMBER(L270))),IFERROR(MOD(L270,1),1)&gt;0,AND(ISNUMBER(L270),OR(L270&lt;0,L270&gt;95))),"Введите целое число от 0 до 95",IF(OR(AND(J270&lt;&gt;"",NOT(ISNUMBER(J270))),IFERROR(MOD(J270,1),1)&gt;0,AND(ISNUMBER(J270),OR(J270&lt;50,J270&gt;20000000))),"Введите целое число от 50 до 20000000",IF(NOT(ABS(IFERROR(VALUE(LEFT(M270,FIND("-",M270)-1)),M270)*100-(2500+2000000000)/2)&lt;=ABS(2500-2000000000)/2),"Цена со скидкой должна быть от 25 до 20000000",IF(IFERROR(VALUE(LEFT(M270,FIND("-",M270)-1)),M270)*229&lt;41800,"Вы уменьшили цену в несколько раз, товар попадет в карантин цен",IF(AND(IFERROR(VALUE(I270),0)=0,ISNUMBER(J270),OR(J270&lt;226,ABS(IFERROR(VALUE(LEFT(M270,FIND("-",M270)-1)),M270))*100&lt;22600)),"Проверьте цену товара. Большинство товаров в выбранной категории стоят дороже 226",""))))),"")</f>
      </c>
    </row>
    <row r="271">
      <c r="A271" s="2" t="inlineStr">
        <is>
          <t>VitalEmb</t>
        </is>
      </c>
      <c r="B271" s="2" t="inlineStr">
        <is>
          <t>Декор для одежды</t>
        </is>
      </c>
      <c r="C271" s="2">
        <v>591218531</v>
      </c>
      <c r="D271" s="2" t="inlineStr">
        <is>
          <t>svopklpict0001_pict0001_222549</t>
        </is>
      </c>
      <c r="E271" s="2" t="inlineStr">
        <is>
          <t>2047031150326</t>
        </is>
      </c>
      <c r="F271" s="2">
        <v>66</v>
      </c>
      <c r="G271" s="2">
        <v>0</v>
      </c>
      <c r="H271" s="2">
        <v>767</v>
      </c>
      <c r="I271" s="2" t="inlineStr">
        <is>
          <t>1100</t>
        </is>
      </c>
      <c r="J271" s="4"/>
      <c r="K271" s="2">
        <v>60</v>
      </c>
      <c r="L271" s="6"/>
      <c r="M271" s="2" t="str">
        <f>IF(J271="",ROUND(I271*(1-IF(ISBLANK(L271),K271,L271)/100),2),ROUND(J271*(1-IF(ISBLANK(L271),K271,L271)/100),2))</f>
      </c>
      <c r="N271" s="7" t="str">
        <f>IF(NOT(AND(J271="",L271="")),IF(OR(AND(L271&lt;&gt;"",NOT(ISNUMBER(L271))),IFERROR(MOD(L271,1),1)&gt;0,AND(ISNUMBER(L271),OR(L271&lt;0,L271&gt;95))),"Введите целое число от 0 до 95",IF(OR(AND(J271&lt;&gt;"",NOT(ISNUMBER(J271))),IFERROR(MOD(J271,1),1)&gt;0,AND(ISNUMBER(J271),OR(J271&lt;50,J271&gt;20000000))),"Введите целое число от 50 до 20000000",IF(NOT(ABS(IFERROR(VALUE(LEFT(M271,FIND("-",M271)-1)),M271)*100-(2500+2000000000)/2)&lt;=ABS(2500-2000000000)/2),"Цена со скидкой должна быть от 25 до 20000000",IF(IFERROR(VALUE(LEFT(M271,FIND("-",M271)-1)),M271)*229&lt;44000,"Вы уменьшили цену в несколько раз, товар попадет в карантин цен",IF(AND(IFERROR(VALUE(I271),0)=0,ISNUMBER(J271),OR(J271&lt;226,ABS(IFERROR(VALUE(LEFT(M271,FIND("-",M271)-1)),M271))*100&lt;22600)),"Проверьте цену товара. Большинство товаров в выбранной категории стоят дороже 226",""))))),"")</f>
      </c>
    </row>
    <row r="272">
      <c r="A272" s="2" t="inlineStr">
        <is>
          <t>VitalEmb</t>
        </is>
      </c>
      <c r="B272" s="2" t="inlineStr">
        <is>
          <t>Декор для одежды</t>
        </is>
      </c>
      <c r="C272" s="2">
        <v>677348594</v>
      </c>
      <c r="D272" s="2" t="inlineStr">
        <is>
          <t>razpict0026</t>
        </is>
      </c>
      <c r="E272" s="2" t="inlineStr">
        <is>
          <t>2047656199366</t>
        </is>
      </c>
      <c r="F272" s="2">
        <v>20</v>
      </c>
      <c r="G272" s="2">
        <v>0</v>
      </c>
      <c r="H272" s="2">
        <v>999</v>
      </c>
      <c r="I272" s="2" t="inlineStr">
        <is>
          <t>1100</t>
        </is>
      </c>
      <c r="J272" s="4"/>
      <c r="K272" s="2">
        <v>57</v>
      </c>
      <c r="L272" s="6"/>
      <c r="M272" s="2" t="str">
        <f>IF(J272="",ROUND(I272*(1-IF(ISBLANK(L272),K272,L272)/100),2),ROUND(J272*(1-IF(ISBLANK(L272),K272,L272)/100),2))</f>
      </c>
      <c r="N272" s="7" t="str">
        <f>IF(NOT(AND(J272="",L272="")),IF(OR(AND(L272&lt;&gt;"",NOT(ISNUMBER(L272))),IFERROR(MOD(L272,1),1)&gt;0,AND(ISNUMBER(L272),OR(L272&lt;0,L272&gt;95))),"Введите целое число от 0 до 95",IF(OR(AND(J272&lt;&gt;"",NOT(ISNUMBER(J272))),IFERROR(MOD(J272,1),1)&gt;0,AND(ISNUMBER(J272),OR(J272&lt;50,J272&gt;20000000))),"Введите целое число от 50 до 20000000",IF(NOT(ABS(IFERROR(VALUE(LEFT(M272,FIND("-",M272)-1)),M272)*100-(2500+2000000000)/2)&lt;=ABS(2500-2000000000)/2),"Цена со скидкой должна быть от 25 до 20000000",IF(IFERROR(VALUE(LEFT(M272,FIND("-",M272)-1)),M272)*229&lt;47300,"Вы уменьшили цену в несколько раз, товар попадет в карантин цен",IF(AND(IFERROR(VALUE(I272),0)=0,ISNUMBER(J272),OR(J272&lt;226,ABS(IFERROR(VALUE(LEFT(M272,FIND("-",M272)-1)),M272))*100&lt;22600)),"Проверьте цену товара. Большинство товаров в выбранной категории стоят дороже 226",""))))),"")</f>
      </c>
    </row>
    <row r="273">
      <c r="A273" s="2" t="inlineStr">
        <is>
          <t>VitalEmb</t>
        </is>
      </c>
      <c r="B273" s="2" t="inlineStr">
        <is>
          <t>Декор для одежды</t>
        </is>
      </c>
      <c r="C273" s="2">
        <v>648312063</v>
      </c>
      <c r="D273" s="2" t="inlineStr">
        <is>
          <t>svopkltext0002_222281</t>
        </is>
      </c>
      <c r="E273" s="2" t="inlineStr">
        <is>
          <t>2047479151008</t>
        </is>
      </c>
      <c r="F273" s="2">
        <v>13</v>
      </c>
      <c r="G273" s="2">
        <v>0</v>
      </c>
      <c r="H273" s="2">
        <v>409</v>
      </c>
      <c r="I273" s="2" t="inlineStr">
        <is>
          <t>1100</t>
        </is>
      </c>
      <c r="J273" s="4"/>
      <c r="K273" s="2">
        <v>57</v>
      </c>
      <c r="L273" s="6"/>
      <c r="M273" s="2" t="str">
        <f>IF(J273="",ROUND(I273*(1-IF(ISBLANK(L273),K273,L273)/100),2),ROUND(J273*(1-IF(ISBLANK(L273),K273,L273)/100),2))</f>
      </c>
      <c r="N273" s="7" t="str">
        <f>IF(NOT(AND(J273="",L273="")),IF(OR(AND(L273&lt;&gt;"",NOT(ISNUMBER(L273))),IFERROR(MOD(L273,1),1)&gt;0,AND(ISNUMBER(L273),OR(L273&lt;0,L273&gt;95))),"Введите целое число от 0 до 95",IF(OR(AND(J273&lt;&gt;"",NOT(ISNUMBER(J273))),IFERROR(MOD(J273,1),1)&gt;0,AND(ISNUMBER(J273),OR(J273&lt;50,J273&gt;20000000))),"Введите целое число от 50 до 20000000",IF(NOT(ABS(IFERROR(VALUE(LEFT(M273,FIND("-",M273)-1)),M273)*100-(2500+2000000000)/2)&lt;=ABS(2500-2000000000)/2),"Цена со скидкой должна быть от 25 до 20000000",IF(IFERROR(VALUE(LEFT(M273,FIND("-",M273)-1)),M273)*229&lt;47300,"Вы уменьшили цену в несколько раз, товар попадет в карантин цен",IF(AND(IFERROR(VALUE(I273),0)=0,ISNUMBER(J273),OR(J273&lt;226,ABS(IFERROR(VALUE(LEFT(M273,FIND("-",M273)-1)),M273))*100&lt;22600)),"Проверьте цену товара. Большинство товаров в выбранной категории стоят дороже 226",""))))),"")</f>
      </c>
    </row>
    <row r="274">
      <c r="A274" s="2" t="inlineStr">
        <is>
          <t>VitalEmb</t>
        </is>
      </c>
      <c r="B274" s="2" t="inlineStr">
        <is>
          <t>Декор для одежды</t>
        </is>
      </c>
      <c r="C274" s="2">
        <v>595888044</v>
      </c>
      <c r="D274" s="2" t="inlineStr">
        <is>
          <t>brignr0004_222617</t>
        </is>
      </c>
      <c r="E274" s="2" t="inlineStr">
        <is>
          <t>2047076128830</t>
        </is>
      </c>
      <c r="F274" s="2">
        <v>15</v>
      </c>
      <c r="G274" s="2">
        <v>0</v>
      </c>
      <c r="H274" s="2">
        <v>225</v>
      </c>
      <c r="I274" s="2" t="inlineStr">
        <is>
          <t>1100</t>
        </is>
      </c>
      <c r="J274" s="4"/>
      <c r="K274" s="2">
        <v>63</v>
      </c>
      <c r="L274" s="6"/>
      <c r="M274" s="2" t="str">
        <f>IF(J274="",ROUND(I274*(1-IF(ISBLANK(L274),K274,L274)/100),2),ROUND(J274*(1-IF(ISBLANK(L274),K274,L274)/100),2))</f>
      </c>
      <c r="N274" s="7" t="str">
        <f>IF(NOT(AND(J274="",L274="")),IF(OR(AND(L274&lt;&gt;"",NOT(ISNUMBER(L274))),IFERROR(MOD(L274,1),1)&gt;0,AND(ISNUMBER(L274),OR(L274&lt;0,L274&gt;95))),"Введите целое число от 0 до 95",IF(OR(AND(J274&lt;&gt;"",NOT(ISNUMBER(J274))),IFERROR(MOD(J274,1),1)&gt;0,AND(ISNUMBER(J274),OR(J274&lt;50,J274&gt;20000000))),"Введите целое число от 50 до 20000000",IF(NOT(ABS(IFERROR(VALUE(LEFT(M274,FIND("-",M274)-1)),M274)*100-(2500+2000000000)/2)&lt;=ABS(2500-2000000000)/2),"Цена со скидкой должна быть от 25 до 20000000",IF(IFERROR(VALUE(LEFT(M274,FIND("-",M274)-1)),M274)*229&lt;40700,"Вы уменьшили цену в несколько раз, товар попадет в карантин цен",IF(AND(IFERROR(VALUE(I274),0)=0,ISNUMBER(J274),OR(J274&lt;226,ABS(IFERROR(VALUE(LEFT(M274,FIND("-",M274)-1)),M274))*100&lt;22600)),"Проверьте цену товара. Большинство товаров в выбранной категории стоят дороже 226",""))))),"")</f>
      </c>
    </row>
    <row r="275">
      <c r="A275" s="2" t="inlineStr">
        <is>
          <t>VitalEmb</t>
        </is>
      </c>
      <c r="B275" s="2" t="inlineStr">
        <is>
          <t>Декор для одежды</t>
        </is>
      </c>
      <c r="C275" s="2">
        <v>722842453</v>
      </c>
      <c r="D275" s="2" t="inlineStr">
        <is>
          <t>razpict0051</t>
        </is>
      </c>
      <c r="E275" s="2" t="inlineStr">
        <is>
          <t>2048025464726</t>
        </is>
      </c>
      <c r="F275" s="2">
        <v>4</v>
      </c>
      <c r="G275" s="2">
        <v>0</v>
      </c>
      <c r="H275" s="2">
        <v>14</v>
      </c>
      <c r="I275" s="2" t="inlineStr">
        <is>
          <t>1100</t>
        </is>
      </c>
      <c r="J275" s="4"/>
      <c r="K275" s="2">
        <v>61</v>
      </c>
      <c r="L275" s="6"/>
      <c r="M275" s="2" t="str">
        <f>IF(J275="",ROUND(I275*(1-IF(ISBLANK(L275),K275,L275)/100),2),ROUND(J275*(1-IF(ISBLANK(L275),K275,L275)/100),2))</f>
      </c>
      <c r="N275" s="7" t="str">
        <f>IF(NOT(AND(J275="",L275="")),IF(OR(AND(L275&lt;&gt;"",NOT(ISNUMBER(L275))),IFERROR(MOD(L275,1),1)&gt;0,AND(ISNUMBER(L275),OR(L275&lt;0,L275&gt;95))),"Введите целое число от 0 до 95",IF(OR(AND(J275&lt;&gt;"",NOT(ISNUMBER(J275))),IFERROR(MOD(J275,1),1)&gt;0,AND(ISNUMBER(J275),OR(J275&lt;50,J275&gt;20000000))),"Введите целое число от 50 до 20000000",IF(NOT(ABS(IFERROR(VALUE(LEFT(M275,FIND("-",M275)-1)),M275)*100-(2500+2000000000)/2)&lt;=ABS(2500-2000000000)/2),"Цена со скидкой должна быть от 25 до 20000000",IF(IFERROR(VALUE(LEFT(M275,FIND("-",M275)-1)),M275)*229&lt;42900,"Вы уменьшили цену в несколько раз, товар попадет в карантин цен",IF(AND(IFERROR(VALUE(I275),0)=0,ISNUMBER(J275),OR(J275&lt;226,ABS(IFERROR(VALUE(LEFT(M275,FIND("-",M275)-1)),M275))*100&lt;22600)),"Проверьте цену товара. Большинство товаров в выбранной категории стоят дороже 226",""))))),"")</f>
      </c>
    </row>
    <row r="276">
      <c r="A276" s="2" t="inlineStr">
        <is>
          <t>VitalEmb</t>
        </is>
      </c>
      <c r="B276" s="2" t="inlineStr">
        <is>
          <t>Декор для одежды</t>
        </is>
      </c>
      <c r="C276" s="2">
        <v>595971219</v>
      </c>
      <c r="D276" s="2" t="inlineStr">
        <is>
          <t>bplapict0013_222790</t>
        </is>
      </c>
      <c r="E276" s="2" t="inlineStr">
        <is>
          <t>2047076536871</t>
        </is>
      </c>
      <c r="F276" s="2">
        <v>14</v>
      </c>
      <c r="G276" s="2">
        <v>0</v>
      </c>
      <c r="H276" s="2">
        <v>421</v>
      </c>
      <c r="I276" s="2" t="inlineStr">
        <is>
          <t>1100</t>
        </is>
      </c>
      <c r="J276" s="4"/>
      <c r="K276" s="2">
        <v>63</v>
      </c>
      <c r="L276" s="6"/>
      <c r="M276" s="2" t="str">
        <f>IF(J276="",ROUND(I276*(1-IF(ISBLANK(L276),K276,L276)/100),2),ROUND(J276*(1-IF(ISBLANK(L276),K276,L276)/100),2))</f>
      </c>
      <c r="N276" s="7" t="str">
        <f>IF(NOT(AND(J276="",L276="")),IF(OR(AND(L276&lt;&gt;"",NOT(ISNUMBER(L276))),IFERROR(MOD(L276,1),1)&gt;0,AND(ISNUMBER(L276),OR(L276&lt;0,L276&gt;95))),"Введите целое число от 0 до 95",IF(OR(AND(J276&lt;&gt;"",NOT(ISNUMBER(J276))),IFERROR(MOD(J276,1),1)&gt;0,AND(ISNUMBER(J276),OR(J276&lt;50,J276&gt;20000000))),"Введите целое число от 50 до 20000000",IF(NOT(ABS(IFERROR(VALUE(LEFT(M276,FIND("-",M276)-1)),M276)*100-(2500+2000000000)/2)&lt;=ABS(2500-2000000000)/2),"Цена со скидкой должна быть от 25 до 20000000",IF(IFERROR(VALUE(LEFT(M276,FIND("-",M276)-1)),M276)*229&lt;40700,"Вы уменьшили цену в несколько раз, товар попадет в карантин цен",IF(AND(IFERROR(VALUE(I276),0)=0,ISNUMBER(J276),OR(J276&lt;226,ABS(IFERROR(VALUE(LEFT(M276,FIND("-",M276)-1)),M276))*100&lt;22600)),"Проверьте цену товара. Большинство товаров в выбранной категории стоят дороже 226",""))))),"")</f>
      </c>
    </row>
    <row r="277">
      <c r="A277" s="2" t="inlineStr">
        <is>
          <t>VitalEmb</t>
        </is>
      </c>
      <c r="B277" s="2" t="inlineStr">
        <is>
          <t>Декор для одежды</t>
        </is>
      </c>
      <c r="C277" s="2">
        <v>709461008</v>
      </c>
      <c r="D277" s="2" t="inlineStr">
        <is>
          <t>razpict0042</t>
        </is>
      </c>
      <c r="E277" s="2" t="inlineStr">
        <is>
          <t>2047919661227</t>
        </is>
      </c>
      <c r="F277" s="2">
        <v>31</v>
      </c>
      <c r="G277" s="2">
        <v>0</v>
      </c>
      <c r="H277" s="2">
        <v>999</v>
      </c>
      <c r="I277" s="2" t="inlineStr">
        <is>
          <t>1100</t>
        </is>
      </c>
      <c r="J277" s="4"/>
      <c r="K277" s="2">
        <v>57</v>
      </c>
      <c r="L277" s="6"/>
      <c r="M277" s="2" t="str">
        <f>IF(J277="",ROUND(I277*(1-IF(ISBLANK(L277),K277,L277)/100),2),ROUND(J277*(1-IF(ISBLANK(L277),K277,L277)/100),2))</f>
      </c>
      <c r="N277" s="7" t="str">
        <f>IF(NOT(AND(J277="",L277="")),IF(OR(AND(L277&lt;&gt;"",NOT(ISNUMBER(L277))),IFERROR(MOD(L277,1),1)&gt;0,AND(ISNUMBER(L277),OR(L277&lt;0,L277&gt;95))),"Введите целое число от 0 до 95",IF(OR(AND(J277&lt;&gt;"",NOT(ISNUMBER(J277))),IFERROR(MOD(J277,1),1)&gt;0,AND(ISNUMBER(J277),OR(J277&lt;50,J277&gt;20000000))),"Введите целое число от 50 до 20000000",IF(NOT(ABS(IFERROR(VALUE(LEFT(M277,FIND("-",M277)-1)),M277)*100-(2500+2000000000)/2)&lt;=ABS(2500-2000000000)/2),"Цена со скидкой должна быть от 25 до 20000000",IF(IFERROR(VALUE(LEFT(M277,FIND("-",M277)-1)),M277)*229&lt;47300,"Вы уменьшили цену в несколько раз, товар попадет в карантин цен",IF(AND(IFERROR(VALUE(I277),0)=0,ISNUMBER(J277),OR(J277&lt;226,ABS(IFERROR(VALUE(LEFT(M277,FIND("-",M277)-1)),M277))*100&lt;22600)),"Проверьте цену товара. Большинство товаров в выбранной категории стоят дороже 226",""))))),"")</f>
      </c>
    </row>
    <row r="278">
      <c r="A278" s="2" t="inlineStr">
        <is>
          <t>VitalEmb</t>
        </is>
      </c>
      <c r="B278" s="2" t="inlineStr">
        <is>
          <t>Декор для одежды</t>
        </is>
      </c>
      <c r="C278" s="2">
        <v>709493928</v>
      </c>
      <c r="D278" s="2" t="inlineStr">
        <is>
          <t>razpict0039</t>
        </is>
      </c>
      <c r="E278" s="2" t="inlineStr">
        <is>
          <t>2047919879004</t>
        </is>
      </c>
      <c r="F278" s="2">
        <v>24</v>
      </c>
      <c r="G278" s="2">
        <v>0</v>
      </c>
      <c r="H278" s="2">
        <v>999</v>
      </c>
      <c r="I278" s="2" t="inlineStr">
        <is>
          <t>1100</t>
        </is>
      </c>
      <c r="J278" s="4"/>
      <c r="K278" s="2">
        <v>57</v>
      </c>
      <c r="L278" s="6"/>
      <c r="M278" s="2" t="str">
        <f>IF(J278="",ROUND(I278*(1-IF(ISBLANK(L278),K278,L278)/100),2),ROUND(J278*(1-IF(ISBLANK(L278),K278,L278)/100),2))</f>
      </c>
      <c r="N278" s="7" t="str">
        <f>IF(NOT(AND(J278="",L278="")),IF(OR(AND(L278&lt;&gt;"",NOT(ISNUMBER(L278))),IFERROR(MOD(L278,1),1)&gt;0,AND(ISNUMBER(L278),OR(L278&lt;0,L278&gt;95))),"Введите целое число от 0 до 95",IF(OR(AND(J278&lt;&gt;"",NOT(ISNUMBER(J278))),IFERROR(MOD(J278,1),1)&gt;0,AND(ISNUMBER(J278),OR(J278&lt;50,J278&gt;20000000))),"Введите целое число от 50 до 20000000",IF(NOT(ABS(IFERROR(VALUE(LEFT(M278,FIND("-",M278)-1)),M278)*100-(2500+2000000000)/2)&lt;=ABS(2500-2000000000)/2),"Цена со скидкой должна быть от 25 до 20000000",IF(IFERROR(VALUE(LEFT(M278,FIND("-",M278)-1)),M278)*229&lt;47300,"Вы уменьшили цену в несколько раз, товар попадет в карантин цен",IF(AND(IFERROR(VALUE(I278),0)=0,ISNUMBER(J278),OR(J278&lt;226,ABS(IFERROR(VALUE(LEFT(M278,FIND("-",M278)-1)),M278))*100&lt;22600)),"Проверьте цену товара. Большинство товаров в выбранной категории стоят дороже 226",""))))),"")</f>
      </c>
    </row>
    <row r="279">
      <c r="A279" s="2" t="inlineStr">
        <is>
          <t>VitalEmb</t>
        </is>
      </c>
      <c r="B279" s="2" t="inlineStr">
        <is>
          <t>Декор для одежды</t>
        </is>
      </c>
      <c r="C279" s="2">
        <v>709493924</v>
      </c>
      <c r="D279" s="2" t="inlineStr">
        <is>
          <t>razpict0035</t>
        </is>
      </c>
      <c r="E279" s="2" t="inlineStr">
        <is>
          <t>2047919848116</t>
        </is>
      </c>
      <c r="F279" s="2">
        <v>15</v>
      </c>
      <c r="G279" s="2">
        <v>0</v>
      </c>
      <c r="H279" s="2">
        <v>999</v>
      </c>
      <c r="I279" s="2" t="inlineStr">
        <is>
          <t>1100</t>
        </is>
      </c>
      <c r="J279" s="4"/>
      <c r="K279" s="2">
        <v>57</v>
      </c>
      <c r="L279" s="6"/>
      <c r="M279" s="2" t="str">
        <f>IF(J279="",ROUND(I279*(1-IF(ISBLANK(L279),K279,L279)/100),2),ROUND(J279*(1-IF(ISBLANK(L279),K279,L279)/100),2))</f>
      </c>
      <c r="N279" s="7" t="str">
        <f>IF(NOT(AND(J279="",L279="")),IF(OR(AND(L279&lt;&gt;"",NOT(ISNUMBER(L279))),IFERROR(MOD(L279,1),1)&gt;0,AND(ISNUMBER(L279),OR(L279&lt;0,L279&gt;95))),"Введите целое число от 0 до 95",IF(OR(AND(J279&lt;&gt;"",NOT(ISNUMBER(J279))),IFERROR(MOD(J279,1),1)&gt;0,AND(ISNUMBER(J279),OR(J279&lt;50,J279&gt;20000000))),"Введите целое число от 50 до 20000000",IF(NOT(ABS(IFERROR(VALUE(LEFT(M279,FIND("-",M279)-1)),M279)*100-(2500+2000000000)/2)&lt;=ABS(2500-2000000000)/2),"Цена со скидкой должна быть от 25 до 20000000",IF(IFERROR(VALUE(LEFT(M279,FIND("-",M279)-1)),M279)*229&lt;47300,"Вы уменьшили цену в несколько раз, товар попадет в карантин цен",IF(AND(IFERROR(VALUE(I279),0)=0,ISNUMBER(J279),OR(J279&lt;226,ABS(IFERROR(VALUE(LEFT(M279,FIND("-",M279)-1)),M279))*100&lt;22600)),"Проверьте цену товара. Большинство товаров в выбранной категории стоят дороже 226",""))))),"")</f>
      </c>
    </row>
    <row r="280">
      <c r="A280" s="2" t="inlineStr">
        <is>
          <t>VitalEmb</t>
        </is>
      </c>
      <c r="B280" s="2" t="inlineStr">
        <is>
          <t>Декор для одежды</t>
        </is>
      </c>
      <c r="C280" s="2">
        <v>593239411</v>
      </c>
      <c r="D280" s="2" t="inlineStr">
        <is>
          <t>pzngmh0003_pzmh0004_222710</t>
        </is>
      </c>
      <c r="E280" s="2" t="inlineStr">
        <is>
          <t>2047046754137</t>
        </is>
      </c>
      <c r="F280" s="2">
        <v>19</v>
      </c>
      <c r="G280" s="2">
        <v>0</v>
      </c>
      <c r="H280" s="2">
        <v>999</v>
      </c>
      <c r="I280" s="2" t="inlineStr">
        <is>
          <t>1100</t>
        </is>
      </c>
      <c r="J280" s="4"/>
      <c r="K280" s="2">
        <v>65</v>
      </c>
      <c r="L280" s="6"/>
      <c r="M280" s="2" t="str">
        <f>IF(J280="",ROUND(I280*(1-IF(ISBLANK(L280),K280,L280)/100),2),ROUND(J280*(1-IF(ISBLANK(L280),K280,L280)/100),2))</f>
      </c>
      <c r="N280" s="7" t="str">
        <f>IF(NOT(AND(J280="",L280="")),IF(OR(AND(L280&lt;&gt;"",NOT(ISNUMBER(L280))),IFERROR(MOD(L280,1),1)&gt;0,AND(ISNUMBER(L280),OR(L280&lt;0,L280&gt;95))),"Введите целое число от 0 до 95",IF(OR(AND(J280&lt;&gt;"",NOT(ISNUMBER(J280))),IFERROR(MOD(J280,1),1)&gt;0,AND(ISNUMBER(J280),OR(J280&lt;50,J280&gt;20000000))),"Введите целое число от 50 до 20000000",IF(NOT(ABS(IFERROR(VALUE(LEFT(M280,FIND("-",M280)-1)),M280)*100-(2500+2000000000)/2)&lt;=ABS(2500-2000000000)/2),"Цена со скидкой должна быть от 25 до 20000000",IF(IFERROR(VALUE(LEFT(M280,FIND("-",M280)-1)),M280)*229&lt;38500,"Вы уменьшили цену в несколько раз, товар попадет в карантин цен",IF(AND(IFERROR(VALUE(I280),0)=0,ISNUMBER(J280),OR(J280&lt;226,ABS(IFERROR(VALUE(LEFT(M280,FIND("-",M280)-1)),M280))*100&lt;22600)),"Проверьте цену товара. Большинство товаров в выбранной категории стоят дороже 226",""))))),"")</f>
      </c>
    </row>
    <row r="281">
      <c r="A281" s="2" t="inlineStr">
        <is>
          <t>VitalEmb</t>
        </is>
      </c>
      <c r="B281" s="2" t="inlineStr">
        <is>
          <t>Декор для одежды</t>
        </is>
      </c>
      <c r="C281" s="2">
        <v>605088924</v>
      </c>
      <c r="D281" s="2" t="inlineStr">
        <is>
          <t>svopict0028_pict0152</t>
        </is>
      </c>
      <c r="E281" s="2" t="inlineStr">
        <is>
          <t>2047170495296</t>
        </is>
      </c>
      <c r="F281" s="2">
        <v>14</v>
      </c>
      <c r="G281" s="2">
        <v>0</v>
      </c>
      <c r="H281" s="2">
        <v>999</v>
      </c>
      <c r="I281" s="2" t="inlineStr">
        <is>
          <t>1100</t>
        </is>
      </c>
      <c r="J281" s="4"/>
      <c r="K281" s="2">
        <v>63</v>
      </c>
      <c r="L281" s="6"/>
      <c r="M281" s="2" t="str">
        <f>IF(J281="",ROUND(I281*(1-IF(ISBLANK(L281),K281,L281)/100),2),ROUND(J281*(1-IF(ISBLANK(L281),K281,L281)/100),2))</f>
      </c>
      <c r="N281" s="7" t="str">
        <f>IF(NOT(AND(J281="",L281="")),IF(OR(AND(L281&lt;&gt;"",NOT(ISNUMBER(L281))),IFERROR(MOD(L281,1),1)&gt;0,AND(ISNUMBER(L281),OR(L281&lt;0,L281&gt;95))),"Введите целое число от 0 до 95",IF(OR(AND(J281&lt;&gt;"",NOT(ISNUMBER(J281))),IFERROR(MOD(J281,1),1)&gt;0,AND(ISNUMBER(J281),OR(J281&lt;50,J281&gt;20000000))),"Введите целое число от 50 до 20000000",IF(NOT(ABS(IFERROR(VALUE(LEFT(M281,FIND("-",M281)-1)),M281)*100-(2500+2000000000)/2)&lt;=ABS(2500-2000000000)/2),"Цена со скидкой должна быть от 25 до 20000000",IF(IFERROR(VALUE(LEFT(M281,FIND("-",M281)-1)),M281)*229&lt;40700,"Вы уменьшили цену в несколько раз, товар попадет в карантин цен",IF(AND(IFERROR(VALUE(I281),0)=0,ISNUMBER(J281),OR(J281&lt;226,ABS(IFERROR(VALUE(LEFT(M281,FIND("-",M281)-1)),M281))*100&lt;22600)),"Проверьте цену товара. Большинство товаров в выбранной категории стоят дороже 226",""))))),"")</f>
      </c>
    </row>
    <row r="282">
      <c r="A282" s="2" t="inlineStr">
        <is>
          <t>VitalEmb</t>
        </is>
      </c>
      <c r="B282" s="2" t="inlineStr">
        <is>
          <t>Декор для одежды</t>
        </is>
      </c>
      <c r="C282" s="2">
        <v>593339329</v>
      </c>
      <c r="D282" s="2" t="inlineStr">
        <is>
          <t>pzkit2mh0008_pzmh0035</t>
        </is>
      </c>
      <c r="E282" s="2" t="inlineStr">
        <is>
          <t>2047049601247</t>
        </is>
      </c>
      <c r="F282" s="2">
        <v>14</v>
      </c>
      <c r="G282" s="2">
        <v>0</v>
      </c>
      <c r="H282" s="2">
        <v>999</v>
      </c>
      <c r="I282" s="2" t="inlineStr">
        <is>
          <t>2000</t>
        </is>
      </c>
      <c r="J282" s="4"/>
      <c r="K282" s="2">
        <v>60</v>
      </c>
      <c r="L282" s="6"/>
      <c r="M282" s="2" t="str">
        <f>IF(J282="",ROUND(I282*(1-IF(ISBLANK(L282),K282,L282)/100),2),ROUND(J282*(1-IF(ISBLANK(L282),K282,L282)/100),2))</f>
      </c>
      <c r="N282" s="7" t="str">
        <f>IF(NOT(AND(J282="",L282="")),IF(OR(AND(L282&lt;&gt;"",NOT(ISNUMBER(L282))),IFERROR(MOD(L282,1),1)&gt;0,AND(ISNUMBER(L282),OR(L282&lt;0,L282&gt;95))),"Введите целое число от 0 до 95",IF(OR(AND(J282&lt;&gt;"",NOT(ISNUMBER(J282))),IFERROR(MOD(J282,1),1)&gt;0,AND(ISNUMBER(J282),OR(J282&lt;50,J282&gt;20000000))),"Введите целое число от 50 до 20000000",IF(NOT(ABS(IFERROR(VALUE(LEFT(M282,FIND("-",M282)-1)),M282)*100-(2500+2000000000)/2)&lt;=ABS(2500-2000000000)/2),"Цена со скидкой должна быть от 25 до 20000000",IF(IFERROR(VALUE(LEFT(M282,FIND("-",M282)-1)),M282)*229&lt;80000,"Вы уменьшили цену в несколько раз, товар попадет в карантин цен",IF(AND(IFERROR(VALUE(I282),0)=0,ISNUMBER(J282),OR(J282&lt;226,ABS(IFERROR(VALUE(LEFT(M282,FIND("-",M282)-1)),M282))*100&lt;22600)),"Проверьте цену товара. Большинство товаров в выбранной категории стоят дороже 226",""))))),"")</f>
      </c>
    </row>
    <row r="283">
      <c r="A283" s="2" t="inlineStr">
        <is>
          <t>VitalEmb</t>
        </is>
      </c>
      <c r="B283" s="2" t="inlineStr">
        <is>
          <t>Декор для одежды</t>
        </is>
      </c>
      <c r="C283" s="2">
        <v>707892602</v>
      </c>
      <c r="D283" s="2" t="inlineStr">
        <is>
          <t>rosgkit20011</t>
        </is>
      </c>
      <c r="E283" s="2" t="inlineStr">
        <is>
          <t>2047903900196</t>
        </is>
      </c>
      <c r="F283" s="2">
        <v>7</v>
      </c>
      <c r="G283" s="2">
        <v>0</v>
      </c>
      <c r="H283" s="2">
        <v>999</v>
      </c>
      <c r="I283" s="2" t="inlineStr">
        <is>
          <t>2000</t>
        </is>
      </c>
      <c r="J283" s="4"/>
      <c r="K283" s="2">
        <v>57</v>
      </c>
      <c r="L283" s="6"/>
      <c r="M283" s="2" t="str">
        <f>IF(J283="",ROUND(I283*(1-IF(ISBLANK(L283),K283,L283)/100),2),ROUND(J283*(1-IF(ISBLANK(L283),K283,L283)/100),2))</f>
      </c>
      <c r="N283" s="7" t="str">
        <f>IF(NOT(AND(J283="",L283="")),IF(OR(AND(L283&lt;&gt;"",NOT(ISNUMBER(L283))),IFERROR(MOD(L283,1),1)&gt;0,AND(ISNUMBER(L283),OR(L283&lt;0,L283&gt;95))),"Введите целое число от 0 до 95",IF(OR(AND(J283&lt;&gt;"",NOT(ISNUMBER(J283))),IFERROR(MOD(J283,1),1)&gt;0,AND(ISNUMBER(J283),OR(J283&lt;50,J283&gt;20000000))),"Введите целое число от 50 до 20000000",IF(NOT(ABS(IFERROR(VALUE(LEFT(M283,FIND("-",M283)-1)),M283)*100-(2500+2000000000)/2)&lt;=ABS(2500-2000000000)/2),"Цена со скидкой должна быть от 25 до 20000000",IF(IFERROR(VALUE(LEFT(M283,FIND("-",M283)-1)),M283)*229&lt;86000,"Вы уменьшили цену в несколько раз, товар попадет в карантин цен",IF(AND(IFERROR(VALUE(I283),0)=0,ISNUMBER(J283),OR(J283&lt;226,ABS(IFERROR(VALUE(LEFT(M283,FIND("-",M283)-1)),M283))*100&lt;22600)),"Проверьте цену товара. Большинство товаров в выбранной категории стоят дороже 226",""))))),"")</f>
      </c>
    </row>
    <row r="284">
      <c r="A284" s="2" t="inlineStr">
        <is>
          <t>VitalEmb</t>
        </is>
      </c>
      <c r="B284" s="2" t="inlineStr">
        <is>
          <t>Декор для одежды</t>
        </is>
      </c>
      <c r="C284" s="2">
        <v>711696738</v>
      </c>
      <c r="D284" s="2" t="inlineStr">
        <is>
          <t>priktext0014</t>
        </is>
      </c>
      <c r="E284" s="2" t="inlineStr">
        <is>
          <t>2047943830736</t>
        </is>
      </c>
      <c r="F284" s="2">
        <v>20</v>
      </c>
      <c r="G284" s="2">
        <v>0</v>
      </c>
      <c r="H284" s="2">
        <v>999</v>
      </c>
      <c r="I284" s="2" t="inlineStr">
        <is>
          <t>1100</t>
        </is>
      </c>
      <c r="J284" s="4"/>
      <c r="K284" s="2">
        <v>57</v>
      </c>
      <c r="L284" s="6"/>
      <c r="M284" s="2" t="str">
        <f>IF(J284="",ROUND(I284*(1-IF(ISBLANK(L284),K284,L284)/100),2),ROUND(J284*(1-IF(ISBLANK(L284),K284,L284)/100),2))</f>
      </c>
      <c r="N284" s="7" t="str">
        <f>IF(NOT(AND(J284="",L284="")),IF(OR(AND(L284&lt;&gt;"",NOT(ISNUMBER(L284))),IFERROR(MOD(L284,1),1)&gt;0,AND(ISNUMBER(L284),OR(L284&lt;0,L284&gt;95))),"Введите целое число от 0 до 95",IF(OR(AND(J284&lt;&gt;"",NOT(ISNUMBER(J284))),IFERROR(MOD(J284,1),1)&gt;0,AND(ISNUMBER(J284),OR(J284&lt;50,J284&gt;20000000))),"Введите целое число от 50 до 20000000",IF(NOT(ABS(IFERROR(VALUE(LEFT(M284,FIND("-",M284)-1)),M284)*100-(2500+2000000000)/2)&lt;=ABS(2500-2000000000)/2),"Цена со скидкой должна быть от 25 до 20000000",IF(IFERROR(VALUE(LEFT(M284,FIND("-",M284)-1)),M284)*229&lt;47300,"Вы уменьшили цену в несколько раз, товар попадет в карантин цен",IF(AND(IFERROR(VALUE(I284),0)=0,ISNUMBER(J284),OR(J284&lt;226,ABS(IFERROR(VALUE(LEFT(M284,FIND("-",M284)-1)),M284))*100&lt;22600)),"Проверьте цену товара. Большинство товаров в выбранной категории стоят дороже 226",""))))),"")</f>
      </c>
    </row>
    <row r="285">
      <c r="A285" s="2" t="inlineStr">
        <is>
          <t>VitalEmb</t>
        </is>
      </c>
      <c r="B285" s="2" t="inlineStr">
        <is>
          <t>Декор для одежды</t>
        </is>
      </c>
      <c r="C285" s="2">
        <v>725000459</v>
      </c>
      <c r="D285" s="2" t="inlineStr">
        <is>
          <t>razpict0053</t>
        </is>
      </c>
      <c r="E285" s="2" t="inlineStr">
        <is>
          <t>2048043079537</t>
        </is>
      </c>
      <c r="F285" s="2">
        <v>25</v>
      </c>
      <c r="G285" s="2">
        <v>0</v>
      </c>
      <c r="H285" s="2">
        <v>999</v>
      </c>
      <c r="I285" s="2" t="inlineStr">
        <is>
          <t>1100</t>
        </is>
      </c>
      <c r="J285" s="4"/>
      <c r="K285" s="2">
        <v>53</v>
      </c>
      <c r="L285" s="6"/>
      <c r="M285" s="2" t="str">
        <f>IF(J285="",ROUND(I285*(1-IF(ISBLANK(L285),K285,L285)/100),2),ROUND(J285*(1-IF(ISBLANK(L285),K285,L285)/100),2))</f>
      </c>
      <c r="N285" s="7" t="str">
        <f>IF(NOT(AND(J285="",L285="")),IF(OR(AND(L285&lt;&gt;"",NOT(ISNUMBER(L285))),IFERROR(MOD(L285,1),1)&gt;0,AND(ISNUMBER(L285),OR(L285&lt;0,L285&gt;95))),"Введите целое число от 0 до 95",IF(OR(AND(J285&lt;&gt;"",NOT(ISNUMBER(J285))),IFERROR(MOD(J285,1),1)&gt;0,AND(ISNUMBER(J285),OR(J285&lt;50,J285&gt;20000000))),"Введите целое число от 50 до 20000000",IF(NOT(ABS(IFERROR(VALUE(LEFT(M285,FIND("-",M285)-1)),M285)*100-(2500+2000000000)/2)&lt;=ABS(2500-2000000000)/2),"Цена со скидкой должна быть от 25 до 20000000",IF(IFERROR(VALUE(LEFT(M285,FIND("-",M285)-1)),M285)*229&lt;51700,"Вы уменьшили цену в несколько раз, товар попадет в карантин цен",IF(AND(IFERROR(VALUE(I285),0)=0,ISNUMBER(J285),OR(J285&lt;226,ABS(IFERROR(VALUE(LEFT(M285,FIND("-",M285)-1)),M285))*100&lt;22600)),"Проверьте цену товара. Большинство товаров в выбранной категории стоят дороже 226",""))))),"")</f>
      </c>
    </row>
    <row r="286">
      <c r="A286" s="2" t="inlineStr">
        <is>
          <t>VitalEmb</t>
        </is>
      </c>
      <c r="B286" s="2" t="inlineStr">
        <is>
          <t>Декор для одежды</t>
        </is>
      </c>
      <c r="C286" s="2">
        <v>593354808</v>
      </c>
      <c r="D286" s="2" t="inlineStr">
        <is>
          <t>pzkit2mh0016_pzmh0029</t>
        </is>
      </c>
      <c r="E286" s="2" t="inlineStr">
        <is>
          <t>2047049832030</t>
        </is>
      </c>
      <c r="F286" s="2">
        <v>20</v>
      </c>
      <c r="G286" s="2">
        <v>0</v>
      </c>
      <c r="H286" s="2">
        <v>324</v>
      </c>
      <c r="I286" s="2" t="inlineStr">
        <is>
          <t>2000</t>
        </is>
      </c>
      <c r="J286" s="4"/>
      <c r="K286" s="2">
        <v>65</v>
      </c>
      <c r="L286" s="6"/>
      <c r="M286" s="2" t="str">
        <f>IF(J286="",ROUND(I286*(1-IF(ISBLANK(L286),K286,L286)/100),2),ROUND(J286*(1-IF(ISBLANK(L286),K286,L286)/100),2))</f>
      </c>
      <c r="N286" s="7" t="str">
        <f>IF(NOT(AND(J286="",L286="")),IF(OR(AND(L286&lt;&gt;"",NOT(ISNUMBER(L286))),IFERROR(MOD(L286,1),1)&gt;0,AND(ISNUMBER(L286),OR(L286&lt;0,L286&gt;95))),"Введите целое число от 0 до 95",IF(OR(AND(J286&lt;&gt;"",NOT(ISNUMBER(J286))),IFERROR(MOD(J286,1),1)&gt;0,AND(ISNUMBER(J286),OR(J286&lt;50,J286&gt;20000000))),"Введите целое число от 50 до 20000000",IF(NOT(ABS(IFERROR(VALUE(LEFT(M286,FIND("-",M286)-1)),M286)*100-(2500+2000000000)/2)&lt;=ABS(2500-2000000000)/2),"Цена со скидкой должна быть от 25 до 20000000",IF(IFERROR(VALUE(LEFT(M286,FIND("-",M286)-1)),M286)*229&lt;70000,"Вы уменьшили цену в несколько раз, товар попадет в карантин цен",IF(AND(IFERROR(VALUE(I286),0)=0,ISNUMBER(J286),OR(J286&lt;226,ABS(IFERROR(VALUE(LEFT(M286,FIND("-",M286)-1)),M286))*100&lt;22600)),"Проверьте цену товара. Большинство товаров в выбранной категории стоят дороже 226",""))))),"")</f>
      </c>
    </row>
    <row r="287">
      <c r="A287" s="2" t="inlineStr">
        <is>
          <t>VitalEmb</t>
        </is>
      </c>
      <c r="B287" s="2" t="inlineStr">
        <is>
          <t>Декор для одежды</t>
        </is>
      </c>
      <c r="C287" s="2">
        <v>593403770</v>
      </c>
      <c r="D287" s="2" t="inlineStr">
        <is>
          <t>fsbng0005_form0029_222399</t>
        </is>
      </c>
      <c r="E287" s="2" t="inlineStr">
        <is>
          <t>2047050526898</t>
        </is>
      </c>
      <c r="F287" s="2">
        <v>24</v>
      </c>
      <c r="G287" s="2">
        <v>0</v>
      </c>
      <c r="H287" s="2">
        <v>743</v>
      </c>
      <c r="I287" s="2" t="inlineStr">
        <is>
          <t>1100</t>
        </is>
      </c>
      <c r="J287" s="4"/>
      <c r="K287" s="2">
        <v>66</v>
      </c>
      <c r="L287" s="6"/>
      <c r="M287" s="2" t="str">
        <f>IF(J287="",ROUND(I287*(1-IF(ISBLANK(L287),K287,L287)/100),2),ROUND(J287*(1-IF(ISBLANK(L287),K287,L287)/100),2))</f>
      </c>
      <c r="N287" s="7" t="str">
        <f>IF(NOT(AND(J287="",L287="")),IF(OR(AND(L287&lt;&gt;"",NOT(ISNUMBER(L287))),IFERROR(MOD(L287,1),1)&gt;0,AND(ISNUMBER(L287),OR(L287&lt;0,L287&gt;95))),"Введите целое число от 0 до 95",IF(OR(AND(J287&lt;&gt;"",NOT(ISNUMBER(J287))),IFERROR(MOD(J287,1),1)&gt;0,AND(ISNUMBER(J287),OR(J287&lt;50,J287&gt;20000000))),"Введите целое число от 50 до 20000000",IF(NOT(ABS(IFERROR(VALUE(LEFT(M287,FIND("-",M287)-1)),M287)*100-(2500+2000000000)/2)&lt;=ABS(2500-2000000000)/2),"Цена со скидкой должна быть от 25 до 20000000",IF(IFERROR(VALUE(LEFT(M287,FIND("-",M287)-1)),M287)*229&lt;37399,"Вы уменьшили цену в несколько раз, товар попадет в карантин цен",IF(AND(IFERROR(VALUE(I287),0)=0,ISNUMBER(J287),OR(J287&lt;226,ABS(IFERROR(VALUE(LEFT(M287,FIND("-",M287)-1)),M287))*100&lt;22600)),"Проверьте цену товара. Большинство товаров в выбранной категории стоят дороже 226",""))))),"")</f>
      </c>
    </row>
    <row r="288">
      <c r="A288" s="2" t="inlineStr">
        <is>
          <t>VitalEmb</t>
        </is>
      </c>
      <c r="B288" s="2" t="inlineStr">
        <is>
          <t>Декор для одежды</t>
        </is>
      </c>
      <c r="C288" s="2">
        <v>593405742</v>
      </c>
      <c r="D288" s="2" t="inlineStr">
        <is>
          <t>fsbback0003_back0014_222031</t>
        </is>
      </c>
      <c r="E288" s="2" t="inlineStr">
        <is>
          <t>2047050548029</t>
        </is>
      </c>
      <c r="F288" s="2">
        <v>42</v>
      </c>
      <c r="G288" s="2">
        <v>0</v>
      </c>
      <c r="H288" s="2">
        <v>441</v>
      </c>
      <c r="I288" s="2" t="inlineStr">
        <is>
          <t>1500</t>
        </is>
      </c>
      <c r="J288" s="4"/>
      <c r="K288" s="2">
        <v>59</v>
      </c>
      <c r="L288" s="6"/>
      <c r="M288" s="2" t="str">
        <f>IF(J288="",ROUND(I288*(1-IF(ISBLANK(L288),K288,L288)/100),2),ROUND(J288*(1-IF(ISBLANK(L288),K288,L288)/100),2))</f>
      </c>
      <c r="N288" s="7" t="str">
        <f>IF(NOT(AND(J288="",L288="")),IF(OR(AND(L288&lt;&gt;"",NOT(ISNUMBER(L288))),IFERROR(MOD(L288,1),1)&gt;0,AND(ISNUMBER(L288),OR(L288&lt;0,L288&gt;95))),"Введите целое число от 0 до 95",IF(OR(AND(J288&lt;&gt;"",NOT(ISNUMBER(J288))),IFERROR(MOD(J288,1),1)&gt;0,AND(ISNUMBER(J288),OR(J288&lt;50,J288&gt;20000000))),"Введите целое число от 50 до 20000000",IF(NOT(ABS(IFERROR(VALUE(LEFT(M288,FIND("-",M288)-1)),M288)*100-(2500+2000000000)/2)&lt;=ABS(2500-2000000000)/2),"Цена со скидкой должна быть от 25 до 20000000",IF(IFERROR(VALUE(LEFT(M288,FIND("-",M288)-1)),M288)*229&lt;61500,"Вы уменьшили цену в несколько раз, товар попадет в карантин цен",IF(AND(IFERROR(VALUE(I288),0)=0,ISNUMBER(J288),OR(J288&lt;226,ABS(IFERROR(VALUE(LEFT(M288,FIND("-",M288)-1)),M288))*100&lt;22600)),"Проверьте цену товара. Большинство товаров в выбранной категории стоят дороже 226",""))))),"")</f>
      </c>
    </row>
    <row r="289">
      <c r="A289" s="2" t="inlineStr">
        <is>
          <t>VitalEmb</t>
        </is>
      </c>
      <c r="B289" s="2" t="inlineStr">
        <is>
          <t>Декор для одежды</t>
        </is>
      </c>
      <c r="C289" s="2">
        <v>662751953</v>
      </c>
      <c r="D289" s="2" t="inlineStr">
        <is>
          <t>raztext0003</t>
        </is>
      </c>
      <c r="E289" s="2" t="inlineStr">
        <is>
          <t>2047550709098</t>
        </is>
      </c>
      <c r="F289" s="2">
        <v>24</v>
      </c>
      <c r="G289" s="2">
        <v>0</v>
      </c>
      <c r="H289" s="2">
        <v>999</v>
      </c>
      <c r="I289" s="2" t="inlineStr">
        <is>
          <t>1100</t>
        </is>
      </c>
      <c r="J289" s="4"/>
      <c r="K289" s="2">
        <v>57</v>
      </c>
      <c r="L289" s="6"/>
      <c r="M289" s="2" t="str">
        <f>IF(J289="",ROUND(I289*(1-IF(ISBLANK(L289),K289,L289)/100),2),ROUND(J289*(1-IF(ISBLANK(L289),K289,L289)/100),2))</f>
      </c>
      <c r="N289" s="7" t="str">
        <f>IF(NOT(AND(J289="",L289="")),IF(OR(AND(L289&lt;&gt;"",NOT(ISNUMBER(L289))),IFERROR(MOD(L289,1),1)&gt;0,AND(ISNUMBER(L289),OR(L289&lt;0,L289&gt;95))),"Введите целое число от 0 до 95",IF(OR(AND(J289&lt;&gt;"",NOT(ISNUMBER(J289))),IFERROR(MOD(J289,1),1)&gt;0,AND(ISNUMBER(J289),OR(J289&lt;50,J289&gt;20000000))),"Введите целое число от 50 до 20000000",IF(NOT(ABS(IFERROR(VALUE(LEFT(M289,FIND("-",M289)-1)),M289)*100-(2500+2000000000)/2)&lt;=ABS(2500-2000000000)/2),"Цена со скидкой должна быть от 25 до 20000000",IF(IFERROR(VALUE(LEFT(M289,FIND("-",M289)-1)),M289)*229&lt;47300,"Вы уменьшили цену в несколько раз, товар попадет в карантин цен",IF(AND(IFERROR(VALUE(I289),0)=0,ISNUMBER(J289),OR(J289&lt;226,ABS(IFERROR(VALUE(LEFT(M289,FIND("-",M289)-1)),M289))*100&lt;22600)),"Проверьте цену товара. Большинство товаров в выбранной категории стоят дороже 226",""))))),"")</f>
      </c>
    </row>
    <row r="290">
      <c r="A290" s="2" t="inlineStr">
        <is>
          <t>VitalEmb</t>
        </is>
      </c>
      <c r="B290" s="2" t="inlineStr">
        <is>
          <t>Декор для одежды</t>
        </is>
      </c>
      <c r="C290" s="2">
        <v>593370092</v>
      </c>
      <c r="D290" s="2" t="inlineStr">
        <is>
          <t>svopict0003_pict0010_222925</t>
        </is>
      </c>
      <c r="E290" s="2" t="inlineStr">
        <is>
          <t>2047050041018</t>
        </is>
      </c>
      <c r="F290" s="2">
        <v>0</v>
      </c>
      <c r="G290" s="2">
        <v>0</v>
      </c>
      <c r="H290" s="2">
        <v>1</v>
      </c>
      <c r="I290" s="2" t="inlineStr">
        <is>
          <t>1100</t>
        </is>
      </c>
      <c r="J290" s="4"/>
      <c r="K290" s="2">
        <v>55</v>
      </c>
      <c r="L290" s="6"/>
      <c r="M290" s="2" t="str">
        <f>IF(J290="",ROUND(I290*(1-IF(ISBLANK(L290),K290,L290)/100),2),ROUND(J290*(1-IF(ISBLANK(L290),K290,L290)/100),2))</f>
      </c>
      <c r="N290" s="7" t="str">
        <f>IF(NOT(AND(J290="",L290="")),IF(OR(AND(L290&lt;&gt;"",NOT(ISNUMBER(L290))),IFERROR(MOD(L290,1),1)&gt;0,AND(ISNUMBER(L290),OR(L290&lt;0,L290&gt;95))),"Введите целое число от 0 до 95",IF(OR(AND(J290&lt;&gt;"",NOT(ISNUMBER(J290))),IFERROR(MOD(J290,1),1)&gt;0,AND(ISNUMBER(J290),OR(J290&lt;50,J290&gt;20000000))),"Введите целое число от 50 до 20000000",IF(NOT(ABS(IFERROR(VALUE(LEFT(M290,FIND("-",M290)-1)),M290)*100-(2500+2000000000)/2)&lt;=ABS(2500-2000000000)/2),"Цена со скидкой должна быть от 25 до 20000000",IF(IFERROR(VALUE(LEFT(M290,FIND("-",M290)-1)),M290)*229&lt;49499,"Вы уменьшили цену в несколько раз, товар попадет в карантин цен",IF(AND(IFERROR(VALUE(I290),0)=0,ISNUMBER(J290),OR(J290&lt;226,ABS(IFERROR(VALUE(LEFT(M290,FIND("-",M290)-1)),M290))*100&lt;22600)),"Проверьте цену товара. Большинство товаров в выбранной категории стоят дороже 226",""))))),"")</f>
      </c>
    </row>
    <row r="291">
      <c r="A291" s="2" t="inlineStr">
        <is>
          <t>VitalEmb</t>
        </is>
      </c>
      <c r="B291" s="2" t="inlineStr">
        <is>
          <t>Декор для одежды</t>
        </is>
      </c>
      <c r="C291" s="2">
        <v>711864522</v>
      </c>
      <c r="D291" s="2" t="inlineStr">
        <is>
          <t>razpict0048</t>
        </is>
      </c>
      <c r="E291" s="2" t="inlineStr">
        <is>
          <t>2047945423752</t>
        </is>
      </c>
      <c r="F291" s="2">
        <v>20</v>
      </c>
      <c r="G291" s="2">
        <v>0</v>
      </c>
      <c r="H291" s="2">
        <v>999</v>
      </c>
      <c r="I291" s="2" t="inlineStr">
        <is>
          <t>1100</t>
        </is>
      </c>
      <c r="J291" s="4"/>
      <c r="K291" s="2">
        <v>57</v>
      </c>
      <c r="L291" s="6"/>
      <c r="M291" s="2" t="str">
        <f>IF(J291="",ROUND(I291*(1-IF(ISBLANK(L291),K291,L291)/100),2),ROUND(J291*(1-IF(ISBLANK(L291),K291,L291)/100),2))</f>
      </c>
      <c r="N291" s="7" t="str">
        <f>IF(NOT(AND(J291="",L291="")),IF(OR(AND(L291&lt;&gt;"",NOT(ISNUMBER(L291))),IFERROR(MOD(L291,1),1)&gt;0,AND(ISNUMBER(L291),OR(L291&lt;0,L291&gt;95))),"Введите целое число от 0 до 95",IF(OR(AND(J291&lt;&gt;"",NOT(ISNUMBER(J291))),IFERROR(MOD(J291,1),1)&gt;0,AND(ISNUMBER(J291),OR(J291&lt;50,J291&gt;20000000))),"Введите целое число от 50 до 20000000",IF(NOT(ABS(IFERROR(VALUE(LEFT(M291,FIND("-",M291)-1)),M291)*100-(2500+2000000000)/2)&lt;=ABS(2500-2000000000)/2),"Цена со скидкой должна быть от 25 до 20000000",IF(IFERROR(VALUE(LEFT(M291,FIND("-",M291)-1)),M291)*229&lt;47300,"Вы уменьшили цену в несколько раз, товар попадет в карантин цен",IF(AND(IFERROR(VALUE(I291),0)=0,ISNUMBER(J291),OR(J291&lt;226,ABS(IFERROR(VALUE(LEFT(M291,FIND("-",M291)-1)),M291))*100&lt;22600)),"Проверьте цену товара. Большинство товаров в выбранной категории стоят дороже 226",""))))),"")</f>
      </c>
    </row>
    <row r="292">
      <c r="A292" s="2" t="inlineStr">
        <is>
          <t>VitalEmb</t>
        </is>
      </c>
      <c r="B292" s="2" t="inlineStr">
        <is>
          <t>Декор для одежды</t>
        </is>
      </c>
      <c r="C292" s="2">
        <v>593439864</v>
      </c>
      <c r="D292" s="2" t="inlineStr">
        <is>
          <t>fsinloop20002_loop0014_222679</t>
        </is>
      </c>
      <c r="E292" s="2" t="inlineStr">
        <is>
          <t>2047051048849</t>
        </is>
      </c>
      <c r="F292" s="2">
        <v>16</v>
      </c>
      <c r="G292" s="2">
        <v>0</v>
      </c>
      <c r="H292" s="2">
        <v>487</v>
      </c>
      <c r="I292" s="2" t="inlineStr">
        <is>
          <t>1000</t>
        </is>
      </c>
      <c r="J292" s="4"/>
      <c r="K292" s="2">
        <v>63</v>
      </c>
      <c r="L292" s="6"/>
      <c r="M292" s="2" t="str">
        <f>IF(J292="",ROUND(I292*(1-IF(ISBLANK(L292),K292,L292)/100),2),ROUND(J292*(1-IF(ISBLANK(L292),K292,L292)/100),2))</f>
      </c>
      <c r="N292" s="7" t="str">
        <f>IF(NOT(AND(J292="",L292="")),IF(OR(AND(L292&lt;&gt;"",NOT(ISNUMBER(L292))),IFERROR(MOD(L292,1),1)&gt;0,AND(ISNUMBER(L292),OR(L292&lt;0,L292&gt;95))),"Введите целое число от 0 до 95",IF(OR(AND(J292&lt;&gt;"",NOT(ISNUMBER(J292))),IFERROR(MOD(J292,1),1)&gt;0,AND(ISNUMBER(J292),OR(J292&lt;50,J292&gt;20000000))),"Введите целое число от 50 до 20000000",IF(NOT(ABS(IFERROR(VALUE(LEFT(M292,FIND("-",M292)-1)),M292)*100-(2500+2000000000)/2)&lt;=ABS(2500-2000000000)/2),"Цена со скидкой должна быть от 25 до 20000000",IF(IFERROR(VALUE(LEFT(M292,FIND("-",M292)-1)),M292)*229&lt;37000,"Вы уменьшили цену в несколько раз, товар попадет в карантин цен",IF(AND(IFERROR(VALUE(I292),0)=0,ISNUMBER(J292),OR(J292&lt;226,ABS(IFERROR(VALUE(LEFT(M292,FIND("-",M292)-1)),M292))*100&lt;22600)),"Проверьте цену товара. Большинство товаров в выбранной категории стоят дороже 226",""))))),"")</f>
      </c>
    </row>
    <row r="293">
      <c r="A293" s="2" t="inlineStr">
        <is>
          <t>VitalEmb</t>
        </is>
      </c>
      <c r="B293" s="2" t="inlineStr">
        <is>
          <t>Декор для одежды</t>
        </is>
      </c>
      <c r="C293" s="2">
        <v>600564855</v>
      </c>
      <c r="D293" s="2" t="inlineStr">
        <is>
          <t>svopklpict0006_pict0166_pict0166</t>
        </is>
      </c>
      <c r="E293" s="2" t="inlineStr">
        <is>
          <t>2047127939675</t>
        </is>
      </c>
      <c r="F293" s="2">
        <v>8</v>
      </c>
      <c r="G293" s="2">
        <v>0</v>
      </c>
      <c r="H293" s="2">
        <v>11</v>
      </c>
      <c r="I293" s="2" t="inlineStr">
        <is>
          <t>1100</t>
        </is>
      </c>
      <c r="J293" s="4"/>
      <c r="K293" s="2">
        <v>61</v>
      </c>
      <c r="L293" s="6"/>
      <c r="M293" s="2" t="str">
        <f>IF(J293="",ROUND(I293*(1-IF(ISBLANK(L293),K293,L293)/100),2),ROUND(J293*(1-IF(ISBLANK(L293),K293,L293)/100),2))</f>
      </c>
      <c r="N293" s="7" t="str">
        <f>IF(NOT(AND(J293="",L293="")),IF(OR(AND(L293&lt;&gt;"",NOT(ISNUMBER(L293))),IFERROR(MOD(L293,1),1)&gt;0,AND(ISNUMBER(L293),OR(L293&lt;0,L293&gt;95))),"Введите целое число от 0 до 95",IF(OR(AND(J293&lt;&gt;"",NOT(ISNUMBER(J293))),IFERROR(MOD(J293,1),1)&gt;0,AND(ISNUMBER(J293),OR(J293&lt;50,J293&gt;20000000))),"Введите целое число от 50 до 20000000",IF(NOT(ABS(IFERROR(VALUE(LEFT(M293,FIND("-",M293)-1)),M293)*100-(2500+2000000000)/2)&lt;=ABS(2500-2000000000)/2),"Цена со скидкой должна быть от 25 до 20000000",IF(IFERROR(VALUE(LEFT(M293,FIND("-",M293)-1)),M293)*229&lt;42900,"Вы уменьшили цену в несколько раз, товар попадет в карантин цен",IF(AND(IFERROR(VALUE(I293),0)=0,ISNUMBER(J293),OR(J293&lt;226,ABS(IFERROR(VALUE(LEFT(M293,FIND("-",M293)-1)),M293))*100&lt;22600)),"Проверьте цену товара. Большинство товаров в выбранной категории стоят дороже 226",""))))),"")</f>
      </c>
    </row>
    <row r="294">
      <c r="A294" s="2" t="inlineStr">
        <is>
          <t>VitalEmb</t>
        </is>
      </c>
      <c r="B294" s="2" t="inlineStr">
        <is>
          <t>Декор для одежды</t>
        </is>
      </c>
      <c r="C294" s="2">
        <v>683121032</v>
      </c>
      <c r="D294" s="2" t="inlineStr">
        <is>
          <t>razpict0030</t>
        </is>
      </c>
      <c r="E294" s="2" t="inlineStr">
        <is>
          <t>2047703961397</t>
        </is>
      </c>
      <c r="F294" s="2">
        <v>39</v>
      </c>
      <c r="G294" s="2">
        <v>0</v>
      </c>
      <c r="H294" s="2">
        <v>999</v>
      </c>
      <c r="I294" s="2" t="inlineStr">
        <is>
          <t>1100</t>
        </is>
      </c>
      <c r="J294" s="4"/>
      <c r="K294" s="2">
        <v>58</v>
      </c>
      <c r="L294" s="6"/>
      <c r="M294" s="2" t="str">
        <f>IF(J294="",ROUND(I294*(1-IF(ISBLANK(L294),K294,L294)/100),2),ROUND(J294*(1-IF(ISBLANK(L294),K294,L294)/100),2))</f>
      </c>
      <c r="N294" s="7" t="str">
        <f>IF(NOT(AND(J294="",L294="")),IF(OR(AND(L294&lt;&gt;"",NOT(ISNUMBER(L294))),IFERROR(MOD(L294,1),1)&gt;0,AND(ISNUMBER(L294),OR(L294&lt;0,L294&gt;95))),"Введите целое число от 0 до 95",IF(OR(AND(J294&lt;&gt;"",NOT(ISNUMBER(J294))),IFERROR(MOD(J294,1),1)&gt;0,AND(ISNUMBER(J294),OR(J294&lt;50,J294&gt;20000000))),"Введите целое число от 50 до 20000000",IF(NOT(ABS(IFERROR(VALUE(LEFT(M294,FIND("-",M294)-1)),M294)*100-(2500+2000000000)/2)&lt;=ABS(2500-2000000000)/2),"Цена со скидкой должна быть от 25 до 20000000",IF(IFERROR(VALUE(LEFT(M294,FIND("-",M294)-1)),M294)*229&lt;46200,"Вы уменьшили цену в несколько раз, товар попадет в карантин цен",IF(AND(IFERROR(VALUE(I294),0)=0,ISNUMBER(J294),OR(J294&lt;226,ABS(IFERROR(VALUE(LEFT(M294,FIND("-",M294)-1)),M294))*100&lt;22600)),"Проверьте цену товара. Большинство товаров в выбранной категории стоят дороже 226",""))))),"")</f>
      </c>
    </row>
    <row r="295">
      <c r="A295" s="2" t="inlineStr">
        <is>
          <t>VitalEmb</t>
        </is>
      </c>
      <c r="B295" s="2" t="inlineStr">
        <is>
          <t>Декор для одежды</t>
        </is>
      </c>
      <c r="C295" s="2">
        <v>600719804</v>
      </c>
      <c r="D295" s="2" t="inlineStr">
        <is>
          <t>priktext0007_text0021</t>
        </is>
      </c>
      <c r="E295" s="2" t="inlineStr">
        <is>
          <t>2047130320897</t>
        </is>
      </c>
      <c r="F295" s="2">
        <v>15</v>
      </c>
      <c r="G295" s="2">
        <v>0</v>
      </c>
      <c r="H295" s="2">
        <v>999</v>
      </c>
      <c r="I295" s="2" t="inlineStr">
        <is>
          <t>1100</t>
        </is>
      </c>
      <c r="J295" s="4"/>
      <c r="K295" s="2">
        <v>63</v>
      </c>
      <c r="L295" s="6"/>
      <c r="M295" s="2" t="str">
        <f>IF(J295="",ROUND(I295*(1-IF(ISBLANK(L295),K295,L295)/100),2),ROUND(J295*(1-IF(ISBLANK(L295),K295,L295)/100),2))</f>
      </c>
      <c r="N295" s="7" t="str">
        <f>IF(NOT(AND(J295="",L295="")),IF(OR(AND(L295&lt;&gt;"",NOT(ISNUMBER(L295))),IFERROR(MOD(L295,1),1)&gt;0,AND(ISNUMBER(L295),OR(L295&lt;0,L295&gt;95))),"Введите целое число от 0 до 95",IF(OR(AND(J295&lt;&gt;"",NOT(ISNUMBER(J295))),IFERROR(MOD(J295,1),1)&gt;0,AND(ISNUMBER(J295),OR(J295&lt;50,J295&gt;20000000))),"Введите целое число от 50 до 20000000",IF(NOT(ABS(IFERROR(VALUE(LEFT(M295,FIND("-",M295)-1)),M295)*100-(2500+2000000000)/2)&lt;=ABS(2500-2000000000)/2),"Цена со скидкой должна быть от 25 до 20000000",IF(IFERROR(VALUE(LEFT(M295,FIND("-",M295)-1)),M295)*229&lt;40700,"Вы уменьшили цену в несколько раз, товар попадет в карантин цен",IF(AND(IFERROR(VALUE(I295),0)=0,ISNUMBER(J295),OR(J295&lt;226,ABS(IFERROR(VALUE(LEFT(M295,FIND("-",M295)-1)),M295))*100&lt;22600)),"Проверьте цену товара. Большинство товаров в выбранной категории стоят дороже 226",""))))),"")</f>
      </c>
    </row>
    <row r="296">
      <c r="A296" s="2" t="inlineStr">
        <is>
          <t>VitalEmb</t>
        </is>
      </c>
      <c r="B296" s="2" t="inlineStr">
        <is>
          <t>Декор для одежды</t>
        </is>
      </c>
      <c r="C296" s="2">
        <v>588991128</v>
      </c>
      <c r="D296" s="2" t="inlineStr">
        <is>
          <t>nevnng0002_form0003_222316</t>
        </is>
      </c>
      <c r="E296" s="2" t="inlineStr">
        <is>
          <t>2047011874990</t>
        </is>
      </c>
      <c r="F296" s="2">
        <v>4</v>
      </c>
      <c r="G296" s="2">
        <v>0</v>
      </c>
      <c r="H296" s="2">
        <v>41</v>
      </c>
      <c r="I296" s="2" t="inlineStr">
        <is>
          <t>1100</t>
        </is>
      </c>
      <c r="J296" s="4"/>
      <c r="K296" s="2">
        <v>59</v>
      </c>
      <c r="L296" s="6"/>
      <c r="M296" s="2" t="str">
        <f>IF(J296="",ROUND(I296*(1-IF(ISBLANK(L296),K296,L296)/100),2),ROUND(J296*(1-IF(ISBLANK(L296),K296,L296)/100),2))</f>
      </c>
      <c r="N296" s="7" t="str">
        <f>IF(NOT(AND(J296="",L296="")),IF(OR(AND(L296&lt;&gt;"",NOT(ISNUMBER(L296))),IFERROR(MOD(L296,1),1)&gt;0,AND(ISNUMBER(L296),OR(L296&lt;0,L296&gt;95))),"Введите целое число от 0 до 95",IF(OR(AND(J296&lt;&gt;"",NOT(ISNUMBER(J296))),IFERROR(MOD(J296,1),1)&gt;0,AND(ISNUMBER(J296),OR(J296&lt;50,J296&gt;20000000))),"Введите целое число от 50 до 20000000",IF(NOT(ABS(IFERROR(VALUE(LEFT(M296,FIND("-",M296)-1)),M296)*100-(2500+2000000000)/2)&lt;=ABS(2500-2000000000)/2),"Цена со скидкой должна быть от 25 до 20000000",IF(IFERROR(VALUE(LEFT(M296,FIND("-",M296)-1)),M296)*229&lt;45100,"Вы уменьшили цену в несколько раз, товар попадет в карантин цен",IF(AND(IFERROR(VALUE(I296),0)=0,ISNUMBER(J296),OR(J296&lt;226,ABS(IFERROR(VALUE(LEFT(M296,FIND("-",M296)-1)),M296))*100&lt;22600)),"Проверьте цену товара. Большинство товаров в выбранной категории стоят дороже 226",""))))),"")</f>
      </c>
    </row>
    <row r="297">
      <c r="A297" s="2" t="inlineStr">
        <is>
          <t>VitalEmb</t>
        </is>
      </c>
      <c r="B297" s="2" t="inlineStr">
        <is>
          <t>Декор для одежды</t>
        </is>
      </c>
      <c r="C297" s="2">
        <v>593294407</v>
      </c>
      <c r="D297" s="2" t="inlineStr">
        <is>
          <t>pzngol0034_pzol0024_222425</t>
        </is>
      </c>
      <c r="E297" s="2" t="inlineStr">
        <is>
          <t>2047049020192</t>
        </is>
      </c>
      <c r="F297" s="2">
        <v>7</v>
      </c>
      <c r="G297" s="2">
        <v>0</v>
      </c>
      <c r="H297" s="2">
        <v>221</v>
      </c>
      <c r="I297" s="2" t="inlineStr">
        <is>
          <t>1100</t>
        </is>
      </c>
      <c r="J297" s="4"/>
      <c r="K297" s="2">
        <v>53</v>
      </c>
      <c r="L297" s="6"/>
      <c r="M297" s="2" t="str">
        <f>IF(J297="",ROUND(I297*(1-IF(ISBLANK(L297),K297,L297)/100),2),ROUND(J297*(1-IF(ISBLANK(L297),K297,L297)/100),2))</f>
      </c>
      <c r="N297" s="7" t="str">
        <f>IF(NOT(AND(J297="",L297="")),IF(OR(AND(L297&lt;&gt;"",NOT(ISNUMBER(L297))),IFERROR(MOD(L297,1),1)&gt;0,AND(ISNUMBER(L297),OR(L297&lt;0,L297&gt;95))),"Введите целое число от 0 до 95",IF(OR(AND(J297&lt;&gt;"",NOT(ISNUMBER(J297))),IFERROR(MOD(J297,1),1)&gt;0,AND(ISNUMBER(J297),OR(J297&lt;50,J297&gt;20000000))),"Введите целое число от 50 до 20000000",IF(NOT(ABS(IFERROR(VALUE(LEFT(M297,FIND("-",M297)-1)),M297)*100-(2500+2000000000)/2)&lt;=ABS(2500-2000000000)/2),"Цена со скидкой должна быть от 25 до 20000000",IF(IFERROR(VALUE(LEFT(M297,FIND("-",M297)-1)),M297)*229&lt;51700,"Вы уменьшили цену в несколько раз, товар попадет в карантин цен",IF(AND(IFERROR(VALUE(I297),0)=0,ISNUMBER(J297),OR(J297&lt;226,ABS(IFERROR(VALUE(LEFT(M297,FIND("-",M297)-1)),M297))*100&lt;22600)),"Проверьте цену товара. Большинство товаров в выбранной категории стоят дороже 226",""))))),"")</f>
      </c>
    </row>
    <row r="298">
      <c r="A298" s="2" t="inlineStr">
        <is>
          <t>VitalEmb</t>
        </is>
      </c>
      <c r="B298" s="2" t="inlineStr">
        <is>
          <t>Декор для одежды</t>
        </is>
      </c>
      <c r="C298" s="2">
        <v>600548431</v>
      </c>
      <c r="D298" s="2" t="inlineStr">
        <is>
          <t>priktext0004_text0023_text0023</t>
        </is>
      </c>
      <c r="E298" s="2" t="inlineStr">
        <is>
          <t>2047127525854</t>
        </is>
      </c>
      <c r="F298" s="2">
        <v>29</v>
      </c>
      <c r="G298" s="2">
        <v>0</v>
      </c>
      <c r="H298" s="2">
        <v>999</v>
      </c>
      <c r="I298" s="2" t="inlineStr">
        <is>
          <t>1100</t>
        </is>
      </c>
      <c r="J298" s="4"/>
      <c r="K298" s="2">
        <v>63</v>
      </c>
      <c r="L298" s="6"/>
      <c r="M298" s="2" t="str">
        <f>IF(J298="",ROUND(I298*(1-IF(ISBLANK(L298),K298,L298)/100),2),ROUND(J298*(1-IF(ISBLANK(L298),K298,L298)/100),2))</f>
      </c>
      <c r="N298" s="7" t="str">
        <f>IF(NOT(AND(J298="",L298="")),IF(OR(AND(L298&lt;&gt;"",NOT(ISNUMBER(L298))),IFERROR(MOD(L298,1),1)&gt;0,AND(ISNUMBER(L298),OR(L298&lt;0,L298&gt;95))),"Введите целое число от 0 до 95",IF(OR(AND(J298&lt;&gt;"",NOT(ISNUMBER(J298))),IFERROR(MOD(J298,1),1)&gt;0,AND(ISNUMBER(J298),OR(J298&lt;50,J298&gt;20000000))),"Введите целое число от 50 до 20000000",IF(NOT(ABS(IFERROR(VALUE(LEFT(M298,FIND("-",M298)-1)),M298)*100-(2500+2000000000)/2)&lt;=ABS(2500-2000000000)/2),"Цена со скидкой должна быть от 25 до 20000000",IF(IFERROR(VALUE(LEFT(M298,FIND("-",M298)-1)),M298)*229&lt;40700,"Вы уменьшили цену в несколько раз, товар попадет в карантин цен",IF(AND(IFERROR(VALUE(I298),0)=0,ISNUMBER(J298),OR(J298&lt;226,ABS(IFERROR(VALUE(LEFT(M298,FIND("-",M298)-1)),M298))*100&lt;22600)),"Проверьте цену товара. Большинство товаров в выбранной категории стоят дороже 226",""))))),"")</f>
      </c>
    </row>
    <row r="299">
      <c r="A299" s="2" t="inlineStr">
        <is>
          <t>VitalEmb</t>
        </is>
      </c>
      <c r="B299" s="2" t="inlineStr">
        <is>
          <t>Декор для одежды</t>
        </is>
      </c>
      <c r="C299" s="2">
        <v>600796665</v>
      </c>
      <c r="D299" s="2" t="inlineStr">
        <is>
          <t>svopklpict0007_pict0160</t>
        </is>
      </c>
      <c r="E299" s="2" t="inlineStr">
        <is>
          <t>2047131835406</t>
        </is>
      </c>
      <c r="F299" s="2">
        <v>11</v>
      </c>
      <c r="G299" s="2">
        <v>0</v>
      </c>
      <c r="H299" s="2">
        <v>129</v>
      </c>
      <c r="I299" s="2" t="inlineStr">
        <is>
          <t>1100</t>
        </is>
      </c>
      <c r="J299" s="4"/>
      <c r="K299" s="2">
        <v>63</v>
      </c>
      <c r="L299" s="6"/>
      <c r="M299" s="2" t="str">
        <f>IF(J299="",ROUND(I299*(1-IF(ISBLANK(L299),K299,L299)/100),2),ROUND(J299*(1-IF(ISBLANK(L299),K299,L299)/100),2))</f>
      </c>
      <c r="N299" s="7" t="str">
        <f>IF(NOT(AND(J299="",L299="")),IF(OR(AND(L299&lt;&gt;"",NOT(ISNUMBER(L299))),IFERROR(MOD(L299,1),1)&gt;0,AND(ISNUMBER(L299),OR(L299&lt;0,L299&gt;95))),"Введите целое число от 0 до 95",IF(OR(AND(J299&lt;&gt;"",NOT(ISNUMBER(J299))),IFERROR(MOD(J299,1),1)&gt;0,AND(ISNUMBER(J299),OR(J299&lt;50,J299&gt;20000000))),"Введите целое число от 50 до 20000000",IF(NOT(ABS(IFERROR(VALUE(LEFT(M299,FIND("-",M299)-1)),M299)*100-(2500+2000000000)/2)&lt;=ABS(2500-2000000000)/2),"Цена со скидкой должна быть от 25 до 20000000",IF(IFERROR(VALUE(LEFT(M299,FIND("-",M299)-1)),M299)*229&lt;40700,"Вы уменьшили цену в несколько раз, товар попадет в карантин цен",IF(AND(IFERROR(VALUE(I299),0)=0,ISNUMBER(J299),OR(J299&lt;226,ABS(IFERROR(VALUE(LEFT(M299,FIND("-",M299)-1)),M299))*100&lt;22600)),"Проверьте цену товара. Большинство товаров в выбранной категории стоят дороже 226",""))))),"")</f>
      </c>
    </row>
    <row r="300">
      <c r="A300" s="2" t="inlineStr">
        <is>
          <t>VitalEmb</t>
        </is>
      </c>
      <c r="B300" s="2" t="inlineStr">
        <is>
          <t>Декор для одежды</t>
        </is>
      </c>
      <c r="C300" s="2">
        <v>588892251</v>
      </c>
      <c r="D300" s="2" t="inlineStr">
        <is>
          <t>pzngmh0001_pzmh0001_222703</t>
        </is>
      </c>
      <c r="E300" s="2" t="inlineStr">
        <is>
          <t>2047008573981</t>
        </is>
      </c>
      <c r="F300" s="2">
        <v>4</v>
      </c>
      <c r="G300" s="2">
        <v>0</v>
      </c>
      <c r="H300" s="2">
        <v>46</v>
      </c>
      <c r="I300" s="2" t="inlineStr">
        <is>
          <t>1100</t>
        </is>
      </c>
      <c r="J300" s="4"/>
      <c r="K300" s="2">
        <v>65</v>
      </c>
      <c r="L300" s="6"/>
      <c r="M300" s="2" t="str">
        <f>IF(J300="",ROUND(I300*(1-IF(ISBLANK(L300),K300,L300)/100),2),ROUND(J300*(1-IF(ISBLANK(L300),K300,L300)/100),2))</f>
      </c>
      <c r="N300" s="7" t="str">
        <f>IF(NOT(AND(J300="",L300="")),IF(OR(AND(L300&lt;&gt;"",NOT(ISNUMBER(L300))),IFERROR(MOD(L300,1),1)&gt;0,AND(ISNUMBER(L300),OR(L300&lt;0,L300&gt;95))),"Введите целое число от 0 до 95",IF(OR(AND(J300&lt;&gt;"",NOT(ISNUMBER(J300))),IFERROR(MOD(J300,1),1)&gt;0,AND(ISNUMBER(J300),OR(J300&lt;50,J300&gt;20000000))),"Введите целое число от 50 до 20000000",IF(NOT(ABS(IFERROR(VALUE(LEFT(M300,FIND("-",M300)-1)),M300)*100-(2500+2000000000)/2)&lt;=ABS(2500-2000000000)/2),"Цена со скидкой должна быть от 25 до 20000000",IF(IFERROR(VALUE(LEFT(M300,FIND("-",M300)-1)),M300)*229&lt;38500,"Вы уменьшили цену в несколько раз, товар попадет в карантин цен",IF(AND(IFERROR(VALUE(I300),0)=0,ISNUMBER(J300),OR(J300&lt;226,ABS(IFERROR(VALUE(LEFT(M300,FIND("-",M300)-1)),M300))*100&lt;22600)),"Проверьте цену товара. Большинство товаров в выбранной категории стоят дороже 226",""))))),"")</f>
      </c>
    </row>
    <row r="301">
      <c r="A301" s="2" t="inlineStr">
        <is>
          <t>VitalEmb</t>
        </is>
      </c>
      <c r="B301" s="2" t="inlineStr">
        <is>
          <t>Декор для одежды</t>
        </is>
      </c>
      <c r="C301" s="2">
        <v>707654779</v>
      </c>
      <c r="D301" s="2" t="inlineStr">
        <is>
          <t>svopklpict0009</t>
        </is>
      </c>
      <c r="E301" s="2" t="inlineStr">
        <is>
          <t>2047903077096</t>
        </is>
      </c>
      <c r="F301" s="2">
        <v>22</v>
      </c>
      <c r="G301" s="2">
        <v>0</v>
      </c>
      <c r="H301" s="2">
        <v>669</v>
      </c>
      <c r="I301" s="2" t="inlineStr">
        <is>
          <t>1100</t>
        </is>
      </c>
      <c r="J301" s="4"/>
      <c r="K301" s="2">
        <v>53</v>
      </c>
      <c r="L301" s="6"/>
      <c r="M301" s="2" t="str">
        <f>IF(J301="",ROUND(I301*(1-IF(ISBLANK(L301),K301,L301)/100),2),ROUND(J301*(1-IF(ISBLANK(L301),K301,L301)/100),2))</f>
      </c>
      <c r="N301" s="7" t="str">
        <f>IF(NOT(AND(J301="",L301="")),IF(OR(AND(L301&lt;&gt;"",NOT(ISNUMBER(L301))),IFERROR(MOD(L301,1),1)&gt;0,AND(ISNUMBER(L301),OR(L301&lt;0,L301&gt;95))),"Введите целое число от 0 до 95",IF(OR(AND(J301&lt;&gt;"",NOT(ISNUMBER(J301))),IFERROR(MOD(J301,1),1)&gt;0,AND(ISNUMBER(J301),OR(J301&lt;50,J301&gt;20000000))),"Введите целое число от 50 до 20000000",IF(NOT(ABS(IFERROR(VALUE(LEFT(M301,FIND("-",M301)-1)),M301)*100-(2500+2000000000)/2)&lt;=ABS(2500-2000000000)/2),"Цена со скидкой должна быть от 25 до 20000000",IF(IFERROR(VALUE(LEFT(M301,FIND("-",M301)-1)),M301)*229&lt;51700,"Вы уменьшили цену в несколько раз, товар попадет в карантин цен",IF(AND(IFERROR(VALUE(I301),0)=0,ISNUMBER(J301),OR(J301&lt;226,ABS(IFERROR(VALUE(LEFT(M301,FIND("-",M301)-1)),M301))*100&lt;22600)),"Проверьте цену товара. Большинство товаров в выбранной категории стоят дороже 226",""))))),"")</f>
      </c>
    </row>
    <row r="302">
      <c r="A302" s="2" t="inlineStr">
        <is>
          <t>VitalEmb</t>
        </is>
      </c>
      <c r="B302" s="2" t="inlineStr">
        <is>
          <t>Декор для одежды</t>
        </is>
      </c>
      <c r="C302" s="2">
        <v>600585987</v>
      </c>
      <c r="D302" s="2" t="inlineStr">
        <is>
          <t>priktext0005_text0022_text0022</t>
        </is>
      </c>
      <c r="E302" s="2" t="inlineStr">
        <is>
          <t>2047128511566</t>
        </is>
      </c>
      <c r="F302" s="2">
        <v>27</v>
      </c>
      <c r="G302" s="2">
        <v>0</v>
      </c>
      <c r="H302" s="2">
        <v>152</v>
      </c>
      <c r="I302" s="2" t="inlineStr">
        <is>
          <t>1100</t>
        </is>
      </c>
      <c r="J302" s="4"/>
      <c r="K302" s="2">
        <v>59</v>
      </c>
      <c r="L302" s="6"/>
      <c r="M302" s="2" t="str">
        <f>IF(J302="",ROUND(I302*(1-IF(ISBLANK(L302),K302,L302)/100),2),ROUND(J302*(1-IF(ISBLANK(L302),K302,L302)/100),2))</f>
      </c>
      <c r="N302" s="7" t="str">
        <f>IF(NOT(AND(J302="",L302="")),IF(OR(AND(L302&lt;&gt;"",NOT(ISNUMBER(L302))),IFERROR(MOD(L302,1),1)&gt;0,AND(ISNUMBER(L302),OR(L302&lt;0,L302&gt;95))),"Введите целое число от 0 до 95",IF(OR(AND(J302&lt;&gt;"",NOT(ISNUMBER(J302))),IFERROR(MOD(J302,1),1)&gt;0,AND(ISNUMBER(J302),OR(J302&lt;50,J302&gt;20000000))),"Введите целое число от 50 до 20000000",IF(NOT(ABS(IFERROR(VALUE(LEFT(M302,FIND("-",M302)-1)),M302)*100-(2500+2000000000)/2)&lt;=ABS(2500-2000000000)/2),"Цена со скидкой должна быть от 25 до 20000000",IF(IFERROR(VALUE(LEFT(M302,FIND("-",M302)-1)),M302)*229&lt;45100,"Вы уменьшили цену в несколько раз, товар попадет в карантин цен",IF(AND(IFERROR(VALUE(I302),0)=0,ISNUMBER(J302),OR(J302&lt;226,ABS(IFERROR(VALUE(LEFT(M302,FIND("-",M302)-1)),M302))*100&lt;22600)),"Проверьте цену товара. Большинство товаров в выбранной категории стоят дороже 226",""))))),"")</f>
      </c>
    </row>
    <row r="303">
      <c r="A303" s="2" t="inlineStr">
        <is>
          <t>VitalEmb</t>
        </is>
      </c>
      <c r="B303" s="2" t="inlineStr">
        <is>
          <t>Декор для одежды</t>
        </is>
      </c>
      <c r="C303" s="2">
        <v>593289151</v>
      </c>
      <c r="D303" s="2" t="inlineStr">
        <is>
          <t>pzngmh0014_pzmh0003_222712</t>
        </is>
      </c>
      <c r="E303" s="2" t="inlineStr">
        <is>
          <t>2047048905100</t>
        </is>
      </c>
      <c r="F303" s="2">
        <v>15</v>
      </c>
      <c r="G303" s="2">
        <v>0</v>
      </c>
      <c r="H303" s="2">
        <v>157</v>
      </c>
      <c r="I303" s="2" t="inlineStr">
        <is>
          <t>1100</t>
        </is>
      </c>
      <c r="J303" s="4"/>
      <c r="K303" s="2">
        <v>65</v>
      </c>
      <c r="L303" s="6"/>
      <c r="M303" s="2" t="str">
        <f>IF(J303="",ROUND(I303*(1-IF(ISBLANK(L303),K303,L303)/100),2),ROUND(J303*(1-IF(ISBLANK(L303),K303,L303)/100),2))</f>
      </c>
      <c r="N303" s="7" t="str">
        <f>IF(NOT(AND(J303="",L303="")),IF(OR(AND(L303&lt;&gt;"",NOT(ISNUMBER(L303))),IFERROR(MOD(L303,1),1)&gt;0,AND(ISNUMBER(L303),OR(L303&lt;0,L303&gt;95))),"Введите целое число от 0 до 95",IF(OR(AND(J303&lt;&gt;"",NOT(ISNUMBER(J303))),IFERROR(MOD(J303,1),1)&gt;0,AND(ISNUMBER(J303),OR(J303&lt;50,J303&gt;20000000))),"Введите целое число от 50 до 20000000",IF(NOT(ABS(IFERROR(VALUE(LEFT(M303,FIND("-",M303)-1)),M303)*100-(2500+2000000000)/2)&lt;=ABS(2500-2000000000)/2),"Цена со скидкой должна быть от 25 до 20000000",IF(IFERROR(VALUE(LEFT(M303,FIND("-",M303)-1)),M303)*229&lt;38500,"Вы уменьшили цену в несколько раз, товар попадет в карантин цен",IF(AND(IFERROR(VALUE(I303),0)=0,ISNUMBER(J303),OR(J303&lt;226,ABS(IFERROR(VALUE(LEFT(M303,FIND("-",M303)-1)),M303))*100&lt;22600)),"Проверьте цену товара. Большинство товаров в выбранной категории стоят дороже 226",""))))),"")</f>
      </c>
    </row>
    <row r="304">
      <c r="A304" s="2" t="inlineStr">
        <is>
          <t>VitalEmb</t>
        </is>
      </c>
      <c r="B304" s="2" t="inlineStr">
        <is>
          <t>Декор для одежды</t>
        </is>
      </c>
      <c r="C304" s="2">
        <v>690773915</v>
      </c>
      <c r="D304" s="2" t="inlineStr">
        <is>
          <t>priktext0013</t>
        </is>
      </c>
      <c r="E304" s="2" t="inlineStr">
        <is>
          <t>2047764710996</t>
        </is>
      </c>
      <c r="F304" s="2">
        <v>10</v>
      </c>
      <c r="G304" s="2">
        <v>0</v>
      </c>
      <c r="H304" s="2">
        <v>999</v>
      </c>
      <c r="I304" s="2" t="inlineStr">
        <is>
          <t>1100</t>
        </is>
      </c>
      <c r="J304" s="4"/>
      <c r="K304" s="2">
        <v>61</v>
      </c>
      <c r="L304" s="6"/>
      <c r="M304" s="2" t="str">
        <f>IF(J304="",ROUND(I304*(1-IF(ISBLANK(L304),K304,L304)/100),2),ROUND(J304*(1-IF(ISBLANK(L304),K304,L304)/100),2))</f>
      </c>
      <c r="N304" s="7" t="str">
        <f>IF(NOT(AND(J304="",L304="")),IF(OR(AND(L304&lt;&gt;"",NOT(ISNUMBER(L304))),IFERROR(MOD(L304,1),1)&gt;0,AND(ISNUMBER(L304),OR(L304&lt;0,L304&gt;95))),"Введите целое число от 0 до 95",IF(OR(AND(J304&lt;&gt;"",NOT(ISNUMBER(J304))),IFERROR(MOD(J304,1),1)&gt;0,AND(ISNUMBER(J304),OR(J304&lt;50,J304&gt;20000000))),"Введите целое число от 50 до 20000000",IF(NOT(ABS(IFERROR(VALUE(LEFT(M304,FIND("-",M304)-1)),M304)*100-(2500+2000000000)/2)&lt;=ABS(2500-2000000000)/2),"Цена со скидкой должна быть от 25 до 20000000",IF(IFERROR(VALUE(LEFT(M304,FIND("-",M304)-1)),M304)*229&lt;42900,"Вы уменьшили цену в несколько раз, товар попадет в карантин цен",IF(AND(IFERROR(VALUE(I304),0)=0,ISNUMBER(J304),OR(J304&lt;226,ABS(IFERROR(VALUE(LEFT(M304,FIND("-",M304)-1)),M304))*100&lt;22600)),"Проверьте цену товара. Большинство товаров в выбранной категории стоят дороже 226",""))))),"")</f>
      </c>
    </row>
    <row r="305">
      <c r="A305" s="2" t="inlineStr">
        <is>
          <t>VitalEmb</t>
        </is>
      </c>
      <c r="B305" s="2" t="inlineStr">
        <is>
          <t>Декор для одежды</t>
        </is>
      </c>
      <c r="C305" s="2">
        <v>611951207</v>
      </c>
      <c r="D305" s="2" t="inlineStr">
        <is>
          <t>pzngol0005_222186</t>
        </is>
      </c>
      <c r="E305" s="2" t="inlineStr">
        <is>
          <t>2047238534356</t>
        </is>
      </c>
      <c r="F305" s="2">
        <v>20</v>
      </c>
      <c r="G305" s="2">
        <v>0</v>
      </c>
      <c r="H305" s="2">
        <v>999</v>
      </c>
      <c r="I305" s="2" t="inlineStr">
        <is>
          <t>1100</t>
        </is>
      </c>
      <c r="J305" s="4"/>
      <c r="K305" s="2">
        <v>63</v>
      </c>
      <c r="L305" s="6"/>
      <c r="M305" s="2" t="str">
        <f>IF(J305="",ROUND(I305*(1-IF(ISBLANK(L305),K305,L305)/100),2),ROUND(J305*(1-IF(ISBLANK(L305),K305,L305)/100),2))</f>
      </c>
      <c r="N305" s="7" t="str">
        <f>IF(NOT(AND(J305="",L305="")),IF(OR(AND(L305&lt;&gt;"",NOT(ISNUMBER(L305))),IFERROR(MOD(L305,1),1)&gt;0,AND(ISNUMBER(L305),OR(L305&lt;0,L305&gt;95))),"Введите целое число от 0 до 95",IF(OR(AND(J305&lt;&gt;"",NOT(ISNUMBER(J305))),IFERROR(MOD(J305,1),1)&gt;0,AND(ISNUMBER(J305),OR(J305&lt;50,J305&gt;20000000))),"Введите целое число от 50 до 20000000",IF(NOT(ABS(IFERROR(VALUE(LEFT(M305,FIND("-",M305)-1)),M305)*100-(2500+2000000000)/2)&lt;=ABS(2500-2000000000)/2),"Цена со скидкой должна быть от 25 до 20000000",IF(IFERROR(VALUE(LEFT(M305,FIND("-",M305)-1)),M305)*229&lt;40700,"Вы уменьшили цену в несколько раз, товар попадет в карантин цен",IF(AND(IFERROR(VALUE(I305),0)=0,ISNUMBER(J305),OR(J305&lt;226,ABS(IFERROR(VALUE(LEFT(M305,FIND("-",M305)-1)),M305))*100&lt;22600)),"Проверьте цену товара. Большинство товаров в выбранной категории стоят дороже 226",""))))),"")</f>
      </c>
    </row>
    <row r="306">
      <c r="A306" s="2" t="inlineStr">
        <is>
          <t>VitalEmb</t>
        </is>
      </c>
      <c r="B306" s="2" t="inlineStr">
        <is>
          <t>Декор для одежды</t>
        </is>
      </c>
      <c r="C306" s="2">
        <v>722807670</v>
      </c>
      <c r="D306" s="2" t="inlineStr">
        <is>
          <t>shtpict0019</t>
        </is>
      </c>
      <c r="E306" s="2" t="inlineStr">
        <is>
          <t>2048025109887</t>
        </is>
      </c>
      <c r="F306" s="2">
        <v>23</v>
      </c>
      <c r="G306" s="2">
        <v>0</v>
      </c>
      <c r="H306" s="2">
        <v>999</v>
      </c>
      <c r="I306" s="2" t="inlineStr">
        <is>
          <t>1100</t>
        </is>
      </c>
      <c r="J306" s="4"/>
      <c r="K306" s="2">
        <v>53</v>
      </c>
      <c r="L306" s="6"/>
      <c r="M306" s="2" t="str">
        <f>IF(J306="",ROUND(I306*(1-IF(ISBLANK(L306),K306,L306)/100),2),ROUND(J306*(1-IF(ISBLANK(L306),K306,L306)/100),2))</f>
      </c>
      <c r="N306" s="7" t="str">
        <f>IF(NOT(AND(J306="",L306="")),IF(OR(AND(L306&lt;&gt;"",NOT(ISNUMBER(L306))),IFERROR(MOD(L306,1),1)&gt;0,AND(ISNUMBER(L306),OR(L306&lt;0,L306&gt;95))),"Введите целое число от 0 до 95",IF(OR(AND(J306&lt;&gt;"",NOT(ISNUMBER(J306))),IFERROR(MOD(J306,1),1)&gt;0,AND(ISNUMBER(J306),OR(J306&lt;50,J306&gt;20000000))),"Введите целое число от 50 до 20000000",IF(NOT(ABS(IFERROR(VALUE(LEFT(M306,FIND("-",M306)-1)),M306)*100-(2500+2000000000)/2)&lt;=ABS(2500-2000000000)/2),"Цена со скидкой должна быть от 25 до 20000000",IF(IFERROR(VALUE(LEFT(M306,FIND("-",M306)-1)),M306)*229&lt;51700,"Вы уменьшили цену в несколько раз, товар попадет в карантин цен",IF(AND(IFERROR(VALUE(I306),0)=0,ISNUMBER(J306),OR(J306&lt;226,ABS(IFERROR(VALUE(LEFT(M306,FIND("-",M306)-1)),M306))*100&lt;22600)),"Проверьте цену товара. Большинство товаров в выбранной категории стоят дороже 226",""))))),"")</f>
      </c>
    </row>
    <row r="307">
      <c r="A307" s="2" t="inlineStr">
        <is>
          <t>VitalEmb</t>
        </is>
      </c>
      <c r="B307" s="2" t="inlineStr">
        <is>
          <t>Декор для одежды</t>
        </is>
      </c>
      <c r="C307" s="2">
        <v>593177498</v>
      </c>
      <c r="D307" s="2" t="inlineStr">
        <is>
          <t>bplapict0002_text0003_222821</t>
        </is>
      </c>
      <c r="E307" s="2" t="inlineStr">
        <is>
          <t>2047046390953</t>
        </is>
      </c>
      <c r="F307" s="2">
        <v>12</v>
      </c>
      <c r="G307" s="2">
        <v>0</v>
      </c>
      <c r="H307" s="2">
        <v>208</v>
      </c>
      <c r="I307" s="2" t="inlineStr">
        <is>
          <t>1100</t>
        </is>
      </c>
      <c r="J307" s="4"/>
      <c r="K307" s="2">
        <v>63</v>
      </c>
      <c r="L307" s="6"/>
      <c r="M307" s="2" t="str">
        <f>IF(J307="",ROUND(I307*(1-IF(ISBLANK(L307),K307,L307)/100),2),ROUND(J307*(1-IF(ISBLANK(L307),K307,L307)/100),2))</f>
      </c>
      <c r="N307" s="7" t="str">
        <f>IF(NOT(AND(J307="",L307="")),IF(OR(AND(L307&lt;&gt;"",NOT(ISNUMBER(L307))),IFERROR(MOD(L307,1),1)&gt;0,AND(ISNUMBER(L307),OR(L307&lt;0,L307&gt;95))),"Введите целое число от 0 до 95",IF(OR(AND(J307&lt;&gt;"",NOT(ISNUMBER(J307))),IFERROR(MOD(J307,1),1)&gt;0,AND(ISNUMBER(J307),OR(J307&lt;50,J307&gt;20000000))),"Введите целое число от 50 до 20000000",IF(NOT(ABS(IFERROR(VALUE(LEFT(M307,FIND("-",M307)-1)),M307)*100-(2500+2000000000)/2)&lt;=ABS(2500-2000000000)/2),"Цена со скидкой должна быть от 25 до 20000000",IF(IFERROR(VALUE(LEFT(M307,FIND("-",M307)-1)),M307)*229&lt;40700,"Вы уменьшили цену в несколько раз, товар попадет в карантин цен",IF(AND(IFERROR(VALUE(I307),0)=0,ISNUMBER(J307),OR(J307&lt;226,ABS(IFERROR(VALUE(LEFT(M307,FIND("-",M307)-1)),M307))*100&lt;22600)),"Проверьте цену товара. Большинство товаров в выбранной категории стоят дороже 226",""))))),"")</f>
      </c>
    </row>
    <row r="308">
      <c r="A308" s="2" t="inlineStr">
        <is>
          <t>VitalEmb</t>
        </is>
      </c>
      <c r="B308" s="2" t="inlineStr">
        <is>
          <t>Декор для одежды</t>
        </is>
      </c>
      <c r="C308" s="2">
        <v>588961092</v>
      </c>
      <c r="D308" s="2" t="inlineStr">
        <is>
          <t>pzngol0029_pzol0013_222385</t>
        </is>
      </c>
      <c r="E308" s="2" t="inlineStr">
        <is>
          <t>2047011519419</t>
        </is>
      </c>
      <c r="F308" s="2">
        <v>13</v>
      </c>
      <c r="G308" s="2">
        <v>0</v>
      </c>
      <c r="H308" s="2">
        <v>209</v>
      </c>
      <c r="I308" s="2" t="inlineStr">
        <is>
          <t>1100</t>
        </is>
      </c>
      <c r="J308" s="4"/>
      <c r="K308" s="2">
        <v>65</v>
      </c>
      <c r="L308" s="6"/>
      <c r="M308" s="2" t="str">
        <f>IF(J308="",ROUND(I308*(1-IF(ISBLANK(L308),K308,L308)/100),2),ROUND(J308*(1-IF(ISBLANK(L308),K308,L308)/100),2))</f>
      </c>
      <c r="N308" s="7" t="str">
        <f>IF(NOT(AND(J308="",L308="")),IF(OR(AND(L308&lt;&gt;"",NOT(ISNUMBER(L308))),IFERROR(MOD(L308,1),1)&gt;0,AND(ISNUMBER(L308),OR(L308&lt;0,L308&gt;95))),"Введите целое число от 0 до 95",IF(OR(AND(J308&lt;&gt;"",NOT(ISNUMBER(J308))),IFERROR(MOD(J308,1),1)&gt;0,AND(ISNUMBER(J308),OR(J308&lt;50,J308&gt;20000000))),"Введите целое число от 50 до 20000000",IF(NOT(ABS(IFERROR(VALUE(LEFT(M308,FIND("-",M308)-1)),M308)*100-(2500+2000000000)/2)&lt;=ABS(2500-2000000000)/2),"Цена со скидкой должна быть от 25 до 20000000",IF(IFERROR(VALUE(LEFT(M308,FIND("-",M308)-1)),M308)*229&lt;38500,"Вы уменьшили цену в несколько раз, товар попадет в карантин цен",IF(AND(IFERROR(VALUE(I308),0)=0,ISNUMBER(J308),OR(J308&lt;226,ABS(IFERROR(VALUE(LEFT(M308,FIND("-",M308)-1)),M308))*100&lt;22600)),"Проверьте цену товара. Большинство товаров в выбранной категории стоят дороже 226",""))))),"")</f>
      </c>
    </row>
    <row r="309">
      <c r="A309" s="2" t="inlineStr">
        <is>
          <t>VitalEmb</t>
        </is>
      </c>
      <c r="B309" s="2" t="inlineStr">
        <is>
          <t>Декор для одежды</t>
        </is>
      </c>
      <c r="C309" s="2">
        <v>611999726</v>
      </c>
      <c r="D309" s="2" t="inlineStr">
        <is>
          <t>pzngmh0013_222857</t>
        </is>
      </c>
      <c r="E309" s="2" t="inlineStr">
        <is>
          <t>2047239642340</t>
        </is>
      </c>
      <c r="F309" s="2">
        <v>4</v>
      </c>
      <c r="G309" s="2">
        <v>0</v>
      </c>
      <c r="H309" s="2">
        <v>88</v>
      </c>
      <c r="I309" s="2" t="inlineStr">
        <is>
          <t>1100</t>
        </is>
      </c>
      <c r="J309" s="4"/>
      <c r="K309" s="2">
        <v>63</v>
      </c>
      <c r="L309" s="6"/>
      <c r="M309" s="2" t="str">
        <f>IF(J309="",ROUND(I309*(1-IF(ISBLANK(L309),K309,L309)/100),2),ROUND(J309*(1-IF(ISBLANK(L309),K309,L309)/100),2))</f>
      </c>
      <c r="N309" s="7" t="str">
        <f>IF(NOT(AND(J309="",L309="")),IF(OR(AND(L309&lt;&gt;"",NOT(ISNUMBER(L309))),IFERROR(MOD(L309,1),1)&gt;0,AND(ISNUMBER(L309),OR(L309&lt;0,L309&gt;95))),"Введите целое число от 0 до 95",IF(OR(AND(J309&lt;&gt;"",NOT(ISNUMBER(J309))),IFERROR(MOD(J309,1),1)&gt;0,AND(ISNUMBER(J309),OR(J309&lt;50,J309&gt;20000000))),"Введите целое число от 50 до 20000000",IF(NOT(ABS(IFERROR(VALUE(LEFT(M309,FIND("-",M309)-1)),M309)*100-(2500+2000000000)/2)&lt;=ABS(2500-2000000000)/2),"Цена со скидкой должна быть от 25 до 20000000",IF(IFERROR(VALUE(LEFT(M309,FIND("-",M309)-1)),M309)*229&lt;40700,"Вы уменьшили цену в несколько раз, товар попадет в карантин цен",IF(AND(IFERROR(VALUE(I309),0)=0,ISNUMBER(J309),OR(J309&lt;226,ABS(IFERROR(VALUE(LEFT(M309,FIND("-",M309)-1)),M309))*100&lt;22600)),"Проверьте цену товара. Большинство товаров в выбранной категории стоят дороже 226",""))))),"")</f>
      </c>
    </row>
    <row r="310">
      <c r="A310" s="2" t="inlineStr">
        <is>
          <t>VitalEmb</t>
        </is>
      </c>
      <c r="B310" s="2" t="inlineStr">
        <is>
          <t>Декор для одежды</t>
        </is>
      </c>
      <c r="C310" s="2">
        <v>684929778</v>
      </c>
      <c r="D310" s="2" t="inlineStr">
        <is>
          <t>mvdkit2nr0012</t>
        </is>
      </c>
      <c r="E310" s="2" t="inlineStr">
        <is>
          <t>2047715543949</t>
        </is>
      </c>
      <c r="F310" s="2">
        <v>16</v>
      </c>
      <c r="G310" s="2">
        <v>0</v>
      </c>
      <c r="H310" s="2">
        <v>999</v>
      </c>
      <c r="I310" s="2" t="inlineStr">
        <is>
          <t>2000</t>
        </is>
      </c>
      <c r="J310" s="4"/>
      <c r="K310" s="2">
        <v>57</v>
      </c>
      <c r="L310" s="6"/>
      <c r="M310" s="2" t="str">
        <f>IF(J310="",ROUND(I310*(1-IF(ISBLANK(L310),K310,L310)/100),2),ROUND(J310*(1-IF(ISBLANK(L310),K310,L310)/100),2))</f>
      </c>
      <c r="N310" s="7" t="str">
        <f>IF(NOT(AND(J310="",L310="")),IF(OR(AND(L310&lt;&gt;"",NOT(ISNUMBER(L310))),IFERROR(MOD(L310,1),1)&gt;0,AND(ISNUMBER(L310),OR(L310&lt;0,L310&gt;95))),"Введите целое число от 0 до 95",IF(OR(AND(J310&lt;&gt;"",NOT(ISNUMBER(J310))),IFERROR(MOD(J310,1),1)&gt;0,AND(ISNUMBER(J310),OR(J310&lt;50,J310&gt;20000000))),"Введите целое число от 50 до 20000000",IF(NOT(ABS(IFERROR(VALUE(LEFT(M310,FIND("-",M310)-1)),M310)*100-(2500+2000000000)/2)&lt;=ABS(2500-2000000000)/2),"Цена со скидкой должна быть от 25 до 20000000",IF(IFERROR(VALUE(LEFT(M310,FIND("-",M310)-1)),M310)*229&lt;86000,"Вы уменьшили цену в несколько раз, товар попадет в карантин цен",IF(AND(IFERROR(VALUE(I310),0)=0,ISNUMBER(J310),OR(J310&lt;226,ABS(IFERROR(VALUE(LEFT(M310,FIND("-",M310)-1)),M310))*100&lt;22600)),"Проверьте цену товара. Большинство товаров в выбранной категории стоят дороже 226",""))))),"")</f>
      </c>
    </row>
    <row r="311">
      <c r="A311" s="2" t="inlineStr">
        <is>
          <t>VitalEmb</t>
        </is>
      </c>
      <c r="B311" s="2" t="inlineStr">
        <is>
          <t>Декор для одежды</t>
        </is>
      </c>
      <c r="C311" s="2">
        <v>605277012</v>
      </c>
      <c r="D311" s="2" t="inlineStr">
        <is>
          <t>shtpict0012_pict0139</t>
        </is>
      </c>
      <c r="E311" s="2" t="inlineStr">
        <is>
          <t>2047173123080</t>
        </is>
      </c>
      <c r="F311" s="2">
        <v>10</v>
      </c>
      <c r="G311" s="2">
        <v>0</v>
      </c>
      <c r="H311" s="2">
        <v>133</v>
      </c>
      <c r="I311" s="2" t="inlineStr">
        <is>
          <t>1100</t>
        </is>
      </c>
      <c r="J311" s="4"/>
      <c r="K311" s="2">
        <v>63</v>
      </c>
      <c r="L311" s="6"/>
      <c r="M311" s="2" t="str">
        <f>IF(J311="",ROUND(I311*(1-IF(ISBLANK(L311),K311,L311)/100),2),ROUND(J311*(1-IF(ISBLANK(L311),K311,L311)/100),2))</f>
      </c>
      <c r="N311" s="7" t="str">
        <f>IF(NOT(AND(J311="",L311="")),IF(OR(AND(L311&lt;&gt;"",NOT(ISNUMBER(L311))),IFERROR(MOD(L311,1),1)&gt;0,AND(ISNUMBER(L311),OR(L311&lt;0,L311&gt;95))),"Введите целое число от 0 до 95",IF(OR(AND(J311&lt;&gt;"",NOT(ISNUMBER(J311))),IFERROR(MOD(J311,1),1)&gt;0,AND(ISNUMBER(J311),OR(J311&lt;50,J311&gt;20000000))),"Введите целое число от 50 до 20000000",IF(NOT(ABS(IFERROR(VALUE(LEFT(M311,FIND("-",M311)-1)),M311)*100-(2500+2000000000)/2)&lt;=ABS(2500-2000000000)/2),"Цена со скидкой должна быть от 25 до 20000000",IF(IFERROR(VALUE(LEFT(M311,FIND("-",M311)-1)),M311)*229&lt;40700,"Вы уменьшили цену в несколько раз, товар попадет в карантин цен",IF(AND(IFERROR(VALUE(I311),0)=0,ISNUMBER(J311),OR(J311&lt;226,ABS(IFERROR(VALUE(LEFT(M311,FIND("-",M311)-1)),M311))*100&lt;22600)),"Проверьте цену товара. Большинство товаров в выбранной категории стоят дороже 226",""))))),"")</f>
      </c>
    </row>
    <row r="312">
      <c r="A312" s="2" t="inlineStr">
        <is>
          <t>VitalEmb</t>
        </is>
      </c>
      <c r="B312" s="2" t="inlineStr">
        <is>
          <t>Декор для одежды</t>
        </is>
      </c>
      <c r="C312" s="2">
        <v>593295759</v>
      </c>
      <c r="D312" s="2" t="inlineStr">
        <is>
          <t>pzngol0035_pzol0015_222719</t>
        </is>
      </c>
      <c r="E312" s="2" t="inlineStr">
        <is>
          <t>2047049037480</t>
        </is>
      </c>
      <c r="F312" s="2">
        <v>17</v>
      </c>
      <c r="G312" s="2">
        <v>0</v>
      </c>
      <c r="H312" s="2">
        <v>252</v>
      </c>
      <c r="I312" s="2" t="inlineStr">
        <is>
          <t>1100</t>
        </is>
      </c>
      <c r="J312" s="4"/>
      <c r="K312" s="2">
        <v>65</v>
      </c>
      <c r="L312" s="6"/>
      <c r="M312" s="2" t="str">
        <f>IF(J312="",ROUND(I312*(1-IF(ISBLANK(L312),K312,L312)/100),2),ROUND(J312*(1-IF(ISBLANK(L312),K312,L312)/100),2))</f>
      </c>
      <c r="N312" s="7" t="str">
        <f>IF(NOT(AND(J312="",L312="")),IF(OR(AND(L312&lt;&gt;"",NOT(ISNUMBER(L312))),IFERROR(MOD(L312,1),1)&gt;0,AND(ISNUMBER(L312),OR(L312&lt;0,L312&gt;95))),"Введите целое число от 0 до 95",IF(OR(AND(J312&lt;&gt;"",NOT(ISNUMBER(J312))),IFERROR(MOD(J312,1),1)&gt;0,AND(ISNUMBER(J312),OR(J312&lt;50,J312&gt;20000000))),"Введите целое число от 50 до 20000000",IF(NOT(ABS(IFERROR(VALUE(LEFT(M312,FIND("-",M312)-1)),M312)*100-(2500+2000000000)/2)&lt;=ABS(2500-2000000000)/2),"Цена со скидкой должна быть от 25 до 20000000",IF(IFERROR(VALUE(LEFT(M312,FIND("-",M312)-1)),M312)*229&lt;38500,"Вы уменьшили цену в несколько раз, товар попадет в карантин цен",IF(AND(IFERROR(VALUE(I312),0)=0,ISNUMBER(J312),OR(J312&lt;226,ABS(IFERROR(VALUE(LEFT(M312,FIND("-",M312)-1)),M312))*100&lt;22600)),"Проверьте цену товара. Большинство товаров в выбранной категории стоят дороже 226",""))))),"")</f>
      </c>
    </row>
    <row r="313">
      <c r="A313" s="2" t="inlineStr">
        <is>
          <t>VitalEmb</t>
        </is>
      </c>
      <c r="B313" s="2" t="inlineStr">
        <is>
          <t>Декор для одежды</t>
        </is>
      </c>
      <c r="C313" s="2">
        <v>612058197</v>
      </c>
      <c r="D313" s="2" t="inlineStr">
        <is>
          <t>pzngmh0016_222804</t>
        </is>
      </c>
      <c r="E313" s="2" t="inlineStr">
        <is>
          <t>2047240474794</t>
        </is>
      </c>
      <c r="F313" s="2">
        <v>6</v>
      </c>
      <c r="G313" s="2">
        <v>0</v>
      </c>
      <c r="H313" s="2">
        <v>202</v>
      </c>
      <c r="I313" s="2" t="inlineStr">
        <is>
          <t>1100</t>
        </is>
      </c>
      <c r="J313" s="4"/>
      <c r="K313" s="2">
        <v>61</v>
      </c>
      <c r="L313" s="6"/>
      <c r="M313" s="2" t="str">
        <f>IF(J313="",ROUND(I313*(1-IF(ISBLANK(L313),K313,L313)/100),2),ROUND(J313*(1-IF(ISBLANK(L313),K313,L313)/100),2))</f>
      </c>
      <c r="N313" s="7" t="str">
        <f>IF(NOT(AND(J313="",L313="")),IF(OR(AND(L313&lt;&gt;"",NOT(ISNUMBER(L313))),IFERROR(MOD(L313,1),1)&gt;0,AND(ISNUMBER(L313),OR(L313&lt;0,L313&gt;95))),"Введите целое число от 0 до 95",IF(OR(AND(J313&lt;&gt;"",NOT(ISNUMBER(J313))),IFERROR(MOD(J313,1),1)&gt;0,AND(ISNUMBER(J313),OR(J313&lt;50,J313&gt;20000000))),"Введите целое число от 50 до 20000000",IF(NOT(ABS(IFERROR(VALUE(LEFT(M313,FIND("-",M313)-1)),M313)*100-(2500+2000000000)/2)&lt;=ABS(2500-2000000000)/2),"Цена со скидкой должна быть от 25 до 20000000",IF(IFERROR(VALUE(LEFT(M313,FIND("-",M313)-1)),M313)*229&lt;42900,"Вы уменьшили цену в несколько раз, товар попадет в карантин цен",IF(AND(IFERROR(VALUE(I313),0)=0,ISNUMBER(J313),OR(J313&lt;226,ABS(IFERROR(VALUE(LEFT(M313,FIND("-",M313)-1)),M313))*100&lt;22600)),"Проверьте цену товара. Большинство товаров в выбранной категории стоят дороже 226",""))))),"")</f>
      </c>
    </row>
    <row r="314">
      <c r="A314" s="2" t="inlineStr">
        <is>
          <t>VitalEmb</t>
        </is>
      </c>
      <c r="B314" s="2" t="inlineStr">
        <is>
          <t>Декор для одежды</t>
        </is>
      </c>
      <c r="C314" s="2">
        <v>720816655</v>
      </c>
      <c r="D314" s="2" t="inlineStr">
        <is>
          <t>shtpict0018</t>
        </is>
      </c>
      <c r="E314" s="2" t="inlineStr">
        <is>
          <t>2048004880486</t>
        </is>
      </c>
      <c r="F314" s="2">
        <v>6</v>
      </c>
      <c r="G314" s="2">
        <v>0</v>
      </c>
      <c r="H314" s="2">
        <v>999</v>
      </c>
      <c r="I314" s="2" t="inlineStr">
        <is>
          <t>1100</t>
        </is>
      </c>
      <c r="J314" s="4"/>
      <c r="K314" s="2">
        <v>57</v>
      </c>
      <c r="L314" s="6"/>
      <c r="M314" s="2" t="str">
        <f>IF(J314="",ROUND(I314*(1-IF(ISBLANK(L314),K314,L314)/100),2),ROUND(J314*(1-IF(ISBLANK(L314),K314,L314)/100),2))</f>
      </c>
      <c r="N314" s="7" t="str">
        <f>IF(NOT(AND(J314="",L314="")),IF(OR(AND(L314&lt;&gt;"",NOT(ISNUMBER(L314))),IFERROR(MOD(L314,1),1)&gt;0,AND(ISNUMBER(L314),OR(L314&lt;0,L314&gt;95))),"Введите целое число от 0 до 95",IF(OR(AND(J314&lt;&gt;"",NOT(ISNUMBER(J314))),IFERROR(MOD(J314,1),1)&gt;0,AND(ISNUMBER(J314),OR(J314&lt;50,J314&gt;20000000))),"Введите целое число от 50 до 20000000",IF(NOT(ABS(IFERROR(VALUE(LEFT(M314,FIND("-",M314)-1)),M314)*100-(2500+2000000000)/2)&lt;=ABS(2500-2000000000)/2),"Цена со скидкой должна быть от 25 до 20000000",IF(IFERROR(VALUE(LEFT(M314,FIND("-",M314)-1)),M314)*229&lt;47300,"Вы уменьшили цену в несколько раз, товар попадет в карантин цен",IF(AND(IFERROR(VALUE(I314),0)=0,ISNUMBER(J314),OR(J314&lt;226,ABS(IFERROR(VALUE(LEFT(M314,FIND("-",M314)-1)),M314))*100&lt;22600)),"Проверьте цену товара. Большинство товаров в выбранной категории стоят дороже 226",""))))),"")</f>
      </c>
    </row>
    <row r="315">
      <c r="A315" s="2" t="inlineStr">
        <is>
          <t>VitalEmb</t>
        </is>
      </c>
      <c r="B315" s="2" t="inlineStr">
        <is>
          <t>Декор для одежды</t>
        </is>
      </c>
      <c r="C315" s="2">
        <v>662720644</v>
      </c>
      <c r="D315" s="2" t="inlineStr">
        <is>
          <t>razpict0020</t>
        </is>
      </c>
      <c r="E315" s="2" t="inlineStr">
        <is>
          <t>2047550455780</t>
        </is>
      </c>
      <c r="F315" s="2">
        <v>19</v>
      </c>
      <c r="G315" s="2">
        <v>0</v>
      </c>
      <c r="H315" s="2">
        <v>999</v>
      </c>
      <c r="I315" s="2" t="inlineStr">
        <is>
          <t>1100</t>
        </is>
      </c>
      <c r="J315" s="4"/>
      <c r="K315" s="2">
        <v>57</v>
      </c>
      <c r="L315" s="6"/>
      <c r="M315" s="2" t="str">
        <f>IF(J315="",ROUND(I315*(1-IF(ISBLANK(L315),K315,L315)/100),2),ROUND(J315*(1-IF(ISBLANK(L315),K315,L315)/100),2))</f>
      </c>
      <c r="N315" s="7" t="str">
        <f>IF(NOT(AND(J315="",L315="")),IF(OR(AND(L315&lt;&gt;"",NOT(ISNUMBER(L315))),IFERROR(MOD(L315,1),1)&gt;0,AND(ISNUMBER(L315),OR(L315&lt;0,L315&gt;95))),"Введите целое число от 0 до 95",IF(OR(AND(J315&lt;&gt;"",NOT(ISNUMBER(J315))),IFERROR(MOD(J315,1),1)&gt;0,AND(ISNUMBER(J315),OR(J315&lt;50,J315&gt;20000000))),"Введите целое число от 50 до 20000000",IF(NOT(ABS(IFERROR(VALUE(LEFT(M315,FIND("-",M315)-1)),M315)*100-(2500+2000000000)/2)&lt;=ABS(2500-2000000000)/2),"Цена со скидкой должна быть от 25 до 20000000",IF(IFERROR(VALUE(LEFT(M315,FIND("-",M315)-1)),M315)*229&lt;47300,"Вы уменьшили цену в несколько раз, товар попадет в карантин цен",IF(AND(IFERROR(VALUE(I315),0)=0,ISNUMBER(J315),OR(J315&lt;226,ABS(IFERROR(VALUE(LEFT(M315,FIND("-",M315)-1)),M315))*100&lt;22600)),"Проверьте цену товара. Большинство товаров в выбранной категории стоят дороже 226",""))))),"")</f>
      </c>
    </row>
    <row r="316">
      <c r="A316" s="2" t="inlineStr">
        <is>
          <t>VitalEmb</t>
        </is>
      </c>
      <c r="B316" s="2" t="inlineStr">
        <is>
          <t>Декор для одежды</t>
        </is>
      </c>
      <c r="C316" s="2">
        <v>591194722</v>
      </c>
      <c r="D316" s="2" t="inlineStr">
        <is>
          <t>kinng0001_form0023_222540</t>
        </is>
      </c>
      <c r="E316" s="2" t="inlineStr">
        <is>
          <t>2047030780531</t>
        </is>
      </c>
      <c r="F316" s="2">
        <v>14</v>
      </c>
      <c r="G316" s="2">
        <v>0</v>
      </c>
      <c r="H316" s="2">
        <v>101</v>
      </c>
      <c r="I316" s="2" t="inlineStr">
        <is>
          <t>1100</t>
        </is>
      </c>
      <c r="J316" s="4"/>
      <c r="K316" s="2">
        <v>65</v>
      </c>
      <c r="L316" s="6"/>
      <c r="M316" s="2" t="str">
        <f>IF(J316="",ROUND(I316*(1-IF(ISBLANK(L316),K316,L316)/100),2),ROUND(J316*(1-IF(ISBLANK(L316),K316,L316)/100),2))</f>
      </c>
      <c r="N316" s="7" t="str">
        <f>IF(NOT(AND(J316="",L316="")),IF(OR(AND(L316&lt;&gt;"",NOT(ISNUMBER(L316))),IFERROR(MOD(L316,1),1)&gt;0,AND(ISNUMBER(L316),OR(L316&lt;0,L316&gt;95))),"Введите целое число от 0 до 95",IF(OR(AND(J316&lt;&gt;"",NOT(ISNUMBER(J316))),IFERROR(MOD(J316,1),1)&gt;0,AND(ISNUMBER(J316),OR(J316&lt;50,J316&gt;20000000))),"Введите целое число от 50 до 20000000",IF(NOT(ABS(IFERROR(VALUE(LEFT(M316,FIND("-",M316)-1)),M316)*100-(2500+2000000000)/2)&lt;=ABS(2500-2000000000)/2),"Цена со скидкой должна быть от 25 до 20000000",IF(IFERROR(VALUE(LEFT(M316,FIND("-",M316)-1)),M316)*229&lt;38500,"Вы уменьшили цену в несколько раз, товар попадет в карантин цен",IF(AND(IFERROR(VALUE(I316),0)=0,ISNUMBER(J316),OR(J316&lt;226,ABS(IFERROR(VALUE(LEFT(M316,FIND("-",M316)-1)),M316))*100&lt;22600)),"Проверьте цену товара. Большинство товаров в выбранной категории стоят дороже 226",""))))),"")</f>
      </c>
    </row>
    <row r="317">
      <c r="A317" s="2" t="inlineStr">
        <is>
          <t>VitalEmb</t>
        </is>
      </c>
      <c r="B317" s="2" t="inlineStr">
        <is>
          <t>Декор для одежды</t>
        </is>
      </c>
      <c r="C317" s="2">
        <v>648348445</v>
      </c>
      <c r="D317" s="2" t="inlineStr">
        <is>
          <t>svopklpict0004_pict0024_222591</t>
        </is>
      </c>
      <c r="E317" s="2" t="inlineStr">
        <is>
          <t>2047479374223</t>
        </is>
      </c>
      <c r="F317" s="2">
        <v>8</v>
      </c>
      <c r="G317" s="2">
        <v>0</v>
      </c>
      <c r="H317" s="2">
        <v>999</v>
      </c>
      <c r="I317" s="2" t="inlineStr">
        <is>
          <t>1100</t>
        </is>
      </c>
      <c r="J317" s="4"/>
      <c r="K317" s="2">
        <v>52</v>
      </c>
      <c r="L317" s="6"/>
      <c r="M317" s="2" t="str">
        <f>IF(J317="",ROUND(I317*(1-IF(ISBLANK(L317),K317,L317)/100),2),ROUND(J317*(1-IF(ISBLANK(L317),K317,L317)/100),2))</f>
      </c>
      <c r="N317" s="7" t="str">
        <f>IF(NOT(AND(J317="",L317="")),IF(OR(AND(L317&lt;&gt;"",NOT(ISNUMBER(L317))),IFERROR(MOD(L317,1),1)&gt;0,AND(ISNUMBER(L317),OR(L317&lt;0,L317&gt;95))),"Введите целое число от 0 до 95",IF(OR(AND(J317&lt;&gt;"",NOT(ISNUMBER(J317))),IFERROR(MOD(J317,1),1)&gt;0,AND(ISNUMBER(J317),OR(J317&lt;50,J317&gt;20000000))),"Введите целое число от 50 до 20000000",IF(NOT(ABS(IFERROR(VALUE(LEFT(M317,FIND("-",M317)-1)),M317)*100-(2500+2000000000)/2)&lt;=ABS(2500-2000000000)/2),"Цена со скидкой должна быть от 25 до 20000000",IF(IFERROR(VALUE(LEFT(M317,FIND("-",M317)-1)),M317)*229&lt;52800,"Вы уменьшили цену в несколько раз, товар попадет в карантин цен",IF(AND(IFERROR(VALUE(I317),0)=0,ISNUMBER(J317),OR(J317&lt;226,ABS(IFERROR(VALUE(LEFT(M317,FIND("-",M317)-1)),M317))*100&lt;22600)),"Проверьте цену товара. Большинство товаров в выбранной категории стоят дороже 226",""))))),"")</f>
      </c>
    </row>
    <row r="318">
      <c r="A318" s="2" t="inlineStr">
        <is>
          <t>VitalEmb</t>
        </is>
      </c>
      <c r="B318" s="2" t="inlineStr">
        <is>
          <t>Декор для одежды</t>
        </is>
      </c>
      <c r="C318" s="2">
        <v>591183223</v>
      </c>
      <c r="D318" s="2" t="inlineStr">
        <is>
          <t>vshnr0002_form0009_222462</t>
        </is>
      </c>
      <c r="E318" s="2" t="inlineStr">
        <is>
          <t>2047030688523</t>
        </is>
      </c>
      <c r="F318" s="2">
        <v>24</v>
      </c>
      <c r="G318" s="2">
        <v>0</v>
      </c>
      <c r="H318" s="2">
        <v>999</v>
      </c>
      <c r="I318" s="2" t="inlineStr">
        <is>
          <t>1100</t>
        </is>
      </c>
      <c r="J318" s="4"/>
      <c r="K318" s="2">
        <v>65</v>
      </c>
      <c r="L318" s="6"/>
      <c r="M318" s="2" t="str">
        <f>IF(J318="",ROUND(I318*(1-IF(ISBLANK(L318),K318,L318)/100),2),ROUND(J318*(1-IF(ISBLANK(L318),K318,L318)/100),2))</f>
      </c>
      <c r="N318" s="7" t="str">
        <f>IF(NOT(AND(J318="",L318="")),IF(OR(AND(L318&lt;&gt;"",NOT(ISNUMBER(L318))),IFERROR(MOD(L318,1),1)&gt;0,AND(ISNUMBER(L318),OR(L318&lt;0,L318&gt;95))),"Введите целое число от 0 до 95",IF(OR(AND(J318&lt;&gt;"",NOT(ISNUMBER(J318))),IFERROR(MOD(J318,1),1)&gt;0,AND(ISNUMBER(J318),OR(J318&lt;50,J318&gt;20000000))),"Введите целое число от 50 до 20000000",IF(NOT(ABS(IFERROR(VALUE(LEFT(M318,FIND("-",M318)-1)),M318)*100-(2500+2000000000)/2)&lt;=ABS(2500-2000000000)/2),"Цена со скидкой должна быть от 25 до 20000000",IF(IFERROR(VALUE(LEFT(M318,FIND("-",M318)-1)),M318)*229&lt;38500,"Вы уменьшили цену в несколько раз, товар попадет в карантин цен",IF(AND(IFERROR(VALUE(I318),0)=0,ISNUMBER(J318),OR(J318&lt;226,ABS(IFERROR(VALUE(LEFT(M318,FIND("-",M318)-1)),M318))*100&lt;22600)),"Проверьте цену товара. Большинство товаров в выбранной категории стоят дороже 226",""))))),"")</f>
      </c>
    </row>
    <row r="319">
      <c r="A319" s="2" t="inlineStr">
        <is>
          <t>VitalEmb</t>
        </is>
      </c>
      <c r="B319" s="2" t="inlineStr">
        <is>
          <t>Декор для одежды</t>
        </is>
      </c>
      <c r="C319" s="2">
        <v>648301792</v>
      </c>
      <c r="D319" s="2" t="inlineStr">
        <is>
          <t>svopklpict0002_223180</t>
        </is>
      </c>
      <c r="E319" s="2" t="inlineStr">
        <is>
          <t>2047479054583</t>
        </is>
      </c>
      <c r="F319" s="2">
        <v>13</v>
      </c>
      <c r="G319" s="2">
        <v>0</v>
      </c>
      <c r="H319" s="2">
        <v>406</v>
      </c>
      <c r="I319" s="2" t="inlineStr">
        <is>
          <t>1100</t>
        </is>
      </c>
      <c r="J319" s="4"/>
      <c r="K319" s="2">
        <v>56</v>
      </c>
      <c r="L319" s="6"/>
      <c r="M319" s="2" t="str">
        <f>IF(J319="",ROUND(I319*(1-IF(ISBLANK(L319),K319,L319)/100),2),ROUND(J319*(1-IF(ISBLANK(L319),K319,L319)/100),2))</f>
      </c>
      <c r="N319" s="7" t="str">
        <f>IF(NOT(AND(J319="",L319="")),IF(OR(AND(L319&lt;&gt;"",NOT(ISNUMBER(L319))),IFERROR(MOD(L319,1),1)&gt;0,AND(ISNUMBER(L319),OR(L319&lt;0,L319&gt;95))),"Введите целое число от 0 до 95",IF(OR(AND(J319&lt;&gt;"",NOT(ISNUMBER(J319))),IFERROR(MOD(J319,1),1)&gt;0,AND(ISNUMBER(J319),OR(J319&lt;50,J319&gt;20000000))),"Введите целое число от 50 до 20000000",IF(NOT(ABS(IFERROR(VALUE(LEFT(M319,FIND("-",M319)-1)),M319)*100-(2500+2000000000)/2)&lt;=ABS(2500-2000000000)/2),"Цена со скидкой должна быть от 25 до 20000000",IF(IFERROR(VALUE(LEFT(M319,FIND("-",M319)-1)),M319)*229&lt;48399,"Вы уменьшили цену в несколько раз, товар попадет в карантин цен",IF(AND(IFERROR(VALUE(I319),0)=0,ISNUMBER(J319),OR(J319&lt;226,ABS(IFERROR(VALUE(LEFT(M319,FIND("-",M319)-1)),M319))*100&lt;22600)),"Проверьте цену товара. Большинство товаров в выбранной категории стоят дороже 226",""))))),"")</f>
      </c>
    </row>
    <row r="320">
      <c r="A320" s="2" t="inlineStr">
        <is>
          <t>VitalEmb</t>
        </is>
      </c>
      <c r="B320" s="2" t="inlineStr">
        <is>
          <t>Декор для одежды</t>
        </is>
      </c>
      <c r="C320" s="2">
        <v>584966561</v>
      </c>
      <c r="D320" s="2" t="inlineStr">
        <is>
          <t>oopict0001_pict0002_222605</t>
        </is>
      </c>
      <c r="E320" s="2" t="inlineStr">
        <is>
          <t>2046966357480</t>
        </is>
      </c>
      <c r="F320" s="2">
        <v>1</v>
      </c>
      <c r="G320" s="2">
        <v>0</v>
      </c>
      <c r="H320" s="2">
        <v>20</v>
      </c>
      <c r="I320" s="2" t="inlineStr">
        <is>
          <t>1100</t>
        </is>
      </c>
      <c r="J320" s="4"/>
      <c r="K320" s="2">
        <v>59</v>
      </c>
      <c r="L320" s="6"/>
      <c r="M320" s="2" t="str">
        <f>IF(J320="",ROUND(I320*(1-IF(ISBLANK(L320),K320,L320)/100),2),ROUND(J320*(1-IF(ISBLANK(L320),K320,L320)/100),2))</f>
      </c>
      <c r="N320" s="7" t="str">
        <f>IF(NOT(AND(J320="",L320="")),IF(OR(AND(L320&lt;&gt;"",NOT(ISNUMBER(L320))),IFERROR(MOD(L320,1),1)&gt;0,AND(ISNUMBER(L320),OR(L320&lt;0,L320&gt;95))),"Введите целое число от 0 до 95",IF(OR(AND(J320&lt;&gt;"",NOT(ISNUMBER(J320))),IFERROR(MOD(J320,1),1)&gt;0,AND(ISNUMBER(J320),OR(J320&lt;50,J320&gt;20000000))),"Введите целое число от 50 до 20000000",IF(NOT(ABS(IFERROR(VALUE(LEFT(M320,FIND("-",M320)-1)),M320)*100-(2500+2000000000)/2)&lt;=ABS(2500-2000000000)/2),"Цена со скидкой должна быть от 25 до 20000000",IF(IFERROR(VALUE(LEFT(M320,FIND("-",M320)-1)),M320)*229&lt;45100,"Вы уменьшили цену в несколько раз, товар попадет в карантин цен",IF(AND(IFERROR(VALUE(I320),0)=0,ISNUMBER(J320),OR(J320&lt;226,ABS(IFERROR(VALUE(LEFT(M320,FIND("-",M320)-1)),M320))*100&lt;22600)),"Проверьте цену товара. Большинство товаров в выбранной категории стоят дороже 226",""))))),"")</f>
      </c>
    </row>
    <row r="321">
      <c r="A321" s="2" t="inlineStr">
        <is>
          <t>VitalEmb</t>
        </is>
      </c>
      <c r="B321" s="2" t="inlineStr">
        <is>
          <t>Декор для одежды</t>
        </is>
      </c>
      <c r="C321" s="2">
        <v>713983915</v>
      </c>
      <c r="D321" s="2" t="inlineStr">
        <is>
          <t>bplapict0025</t>
        </is>
      </c>
      <c r="E321" s="2" t="inlineStr">
        <is>
          <t>2047960629146</t>
        </is>
      </c>
      <c r="F321" s="2">
        <v>22</v>
      </c>
      <c r="G321" s="2">
        <v>0</v>
      </c>
      <c r="H321" s="2">
        <v>112</v>
      </c>
      <c r="I321" s="2" t="inlineStr">
        <is>
          <t>1100</t>
        </is>
      </c>
      <c r="J321" s="4"/>
      <c r="K321" s="2">
        <v>61</v>
      </c>
      <c r="L321" s="6"/>
      <c r="M321" s="2" t="str">
        <f>IF(J321="",ROUND(I321*(1-IF(ISBLANK(L321),K321,L321)/100),2),ROUND(J321*(1-IF(ISBLANK(L321),K321,L321)/100),2))</f>
      </c>
      <c r="N321" s="7" t="str">
        <f>IF(NOT(AND(J321="",L321="")),IF(OR(AND(L321&lt;&gt;"",NOT(ISNUMBER(L321))),IFERROR(MOD(L321,1),1)&gt;0,AND(ISNUMBER(L321),OR(L321&lt;0,L321&gt;95))),"Введите целое число от 0 до 95",IF(OR(AND(J321&lt;&gt;"",NOT(ISNUMBER(J321))),IFERROR(MOD(J321,1),1)&gt;0,AND(ISNUMBER(J321),OR(J321&lt;50,J321&gt;20000000))),"Введите целое число от 50 до 20000000",IF(NOT(ABS(IFERROR(VALUE(LEFT(M321,FIND("-",M321)-1)),M321)*100-(2500+2000000000)/2)&lt;=ABS(2500-2000000000)/2),"Цена со скидкой должна быть от 25 до 20000000",IF(IFERROR(VALUE(LEFT(M321,FIND("-",M321)-1)),M321)*229&lt;42900,"Вы уменьшили цену в несколько раз, товар попадет в карантин цен",IF(AND(IFERROR(VALUE(I321),0)=0,ISNUMBER(J321),OR(J321&lt;226,ABS(IFERROR(VALUE(LEFT(M321,FIND("-",M321)-1)),M321))*100&lt;22600)),"Проверьте цену товара. Большинство товаров в выбранной категории стоят дороже 226",""))))),"")</f>
      </c>
    </row>
    <row r="322">
      <c r="A322" s="2" t="inlineStr">
        <is>
          <t>VitalEmb</t>
        </is>
      </c>
      <c r="B322" s="2" t="inlineStr">
        <is>
          <t>Декор для одежды</t>
        </is>
      </c>
      <c r="C322" s="2">
        <v>593360721</v>
      </c>
      <c r="D322" s="2" t="inlineStr">
        <is>
          <t>pzkit2mh0020_pzmh0049</t>
        </is>
      </c>
      <c r="E322" s="2" t="inlineStr">
        <is>
          <t>2047049909770</t>
        </is>
      </c>
      <c r="F322" s="2">
        <v>8</v>
      </c>
      <c r="G322" s="2">
        <v>0</v>
      </c>
      <c r="H322" s="2">
        <v>69</v>
      </c>
      <c r="I322" s="2" t="inlineStr">
        <is>
          <t>2000</t>
        </is>
      </c>
      <c r="J322" s="4"/>
      <c r="K322" s="2">
        <v>60</v>
      </c>
      <c r="L322" s="6"/>
      <c r="M322" s="2" t="str">
        <f>IF(J322="",ROUND(I322*(1-IF(ISBLANK(L322),K322,L322)/100),2),ROUND(J322*(1-IF(ISBLANK(L322),K322,L322)/100),2))</f>
      </c>
      <c r="N322" s="7" t="str">
        <f>IF(NOT(AND(J322="",L322="")),IF(OR(AND(L322&lt;&gt;"",NOT(ISNUMBER(L322))),IFERROR(MOD(L322,1),1)&gt;0,AND(ISNUMBER(L322),OR(L322&lt;0,L322&gt;95))),"Введите целое число от 0 до 95",IF(OR(AND(J322&lt;&gt;"",NOT(ISNUMBER(J322))),IFERROR(MOD(J322,1),1)&gt;0,AND(ISNUMBER(J322),OR(J322&lt;50,J322&gt;20000000))),"Введите целое число от 50 до 20000000",IF(NOT(ABS(IFERROR(VALUE(LEFT(M322,FIND("-",M322)-1)),M322)*100-(2500+2000000000)/2)&lt;=ABS(2500-2000000000)/2),"Цена со скидкой должна быть от 25 до 20000000",IF(IFERROR(VALUE(LEFT(M322,FIND("-",M322)-1)),M322)*229&lt;80000,"Вы уменьшили цену в несколько раз, товар попадет в карантин цен",IF(AND(IFERROR(VALUE(I322),0)=0,ISNUMBER(J322),OR(J322&lt;226,ABS(IFERROR(VALUE(LEFT(M322,FIND("-",M322)-1)),M322))*100&lt;22600)),"Проверьте цену товара. Большинство товаров в выбранной категории стоят дороже 226",""))))),"")</f>
      </c>
    </row>
    <row r="323">
      <c r="A323" s="2" t="inlineStr">
        <is>
          <t>VitalEmb</t>
        </is>
      </c>
      <c r="B323" s="2" t="inlineStr">
        <is>
          <t>Декор для одежды</t>
        </is>
      </c>
      <c r="C323" s="2">
        <v>593351186</v>
      </c>
      <c r="D323" s="2" t="inlineStr">
        <is>
          <t>pzkit2mh0013_pzmh0033</t>
        </is>
      </c>
      <c r="E323" s="2" t="inlineStr">
        <is>
          <t>2047049788016</t>
        </is>
      </c>
      <c r="F323" s="2">
        <v>20</v>
      </c>
      <c r="G323" s="2">
        <v>0</v>
      </c>
      <c r="H323" s="2">
        <v>323</v>
      </c>
      <c r="I323" s="2" t="inlineStr">
        <is>
          <t>2000</t>
        </is>
      </c>
      <c r="J323" s="4"/>
      <c r="K323" s="2">
        <v>65</v>
      </c>
      <c r="L323" s="6"/>
      <c r="M323" s="2" t="str">
        <f>IF(J323="",ROUND(I323*(1-IF(ISBLANK(L323),K323,L323)/100),2),ROUND(J323*(1-IF(ISBLANK(L323),K323,L323)/100),2))</f>
      </c>
      <c r="N323" s="7" t="str">
        <f>IF(NOT(AND(J323="",L323="")),IF(OR(AND(L323&lt;&gt;"",NOT(ISNUMBER(L323))),IFERROR(MOD(L323,1),1)&gt;0,AND(ISNUMBER(L323),OR(L323&lt;0,L323&gt;95))),"Введите целое число от 0 до 95",IF(OR(AND(J323&lt;&gt;"",NOT(ISNUMBER(J323))),IFERROR(MOD(J323,1),1)&gt;0,AND(ISNUMBER(J323),OR(J323&lt;50,J323&gt;20000000))),"Введите целое число от 50 до 20000000",IF(NOT(ABS(IFERROR(VALUE(LEFT(M323,FIND("-",M323)-1)),M323)*100-(2500+2000000000)/2)&lt;=ABS(2500-2000000000)/2),"Цена со скидкой должна быть от 25 до 20000000",IF(IFERROR(VALUE(LEFT(M323,FIND("-",M323)-1)),M323)*229&lt;70000,"Вы уменьшили цену в несколько раз, товар попадет в карантин цен",IF(AND(IFERROR(VALUE(I323),0)=0,ISNUMBER(J323),OR(J323&lt;226,ABS(IFERROR(VALUE(LEFT(M323,FIND("-",M323)-1)),M323))*100&lt;22600)),"Проверьте цену товара. Большинство товаров в выбранной категории стоят дороже 226",""))))),"")</f>
      </c>
    </row>
    <row r="324">
      <c r="A324" s="2" t="inlineStr">
        <is>
          <t>VitalEmb</t>
        </is>
      </c>
      <c r="B324" s="2" t="inlineStr">
        <is>
          <t>Декор для одежды</t>
        </is>
      </c>
      <c r="C324" s="2">
        <v>593450404</v>
      </c>
      <c r="D324" s="2" t="inlineStr">
        <is>
          <t>vpng0003_form0022_222840</t>
        </is>
      </c>
      <c r="E324" s="2" t="inlineStr">
        <is>
          <t>2047051172216</t>
        </is>
      </c>
      <c r="F324" s="2">
        <v>19</v>
      </c>
      <c r="G324" s="2">
        <v>0</v>
      </c>
      <c r="H324" s="2">
        <v>599</v>
      </c>
      <c r="I324" s="2" t="inlineStr">
        <is>
          <t>1100</t>
        </is>
      </c>
      <c r="J324" s="4"/>
      <c r="K324" s="2">
        <v>66</v>
      </c>
      <c r="L324" s="6"/>
      <c r="M324" s="2" t="str">
        <f>IF(J324="",ROUND(I324*(1-IF(ISBLANK(L324),K324,L324)/100),2),ROUND(J324*(1-IF(ISBLANK(L324),K324,L324)/100),2))</f>
      </c>
      <c r="N324" s="7" t="str">
        <f>IF(NOT(AND(J324="",L324="")),IF(OR(AND(L324&lt;&gt;"",NOT(ISNUMBER(L324))),IFERROR(MOD(L324,1),1)&gt;0,AND(ISNUMBER(L324),OR(L324&lt;0,L324&gt;95))),"Введите целое число от 0 до 95",IF(OR(AND(J324&lt;&gt;"",NOT(ISNUMBER(J324))),IFERROR(MOD(J324,1),1)&gt;0,AND(ISNUMBER(J324),OR(J324&lt;50,J324&gt;20000000))),"Введите целое число от 50 до 20000000",IF(NOT(ABS(IFERROR(VALUE(LEFT(M324,FIND("-",M324)-1)),M324)*100-(2500+2000000000)/2)&lt;=ABS(2500-2000000000)/2),"Цена со скидкой должна быть от 25 до 20000000",IF(IFERROR(VALUE(LEFT(M324,FIND("-",M324)-1)),M324)*229&lt;37399,"Вы уменьшили цену в несколько раз, товар попадет в карантин цен",IF(AND(IFERROR(VALUE(I324),0)=0,ISNUMBER(J324),OR(J324&lt;226,ABS(IFERROR(VALUE(LEFT(M324,FIND("-",M324)-1)),M324))*100&lt;22600)),"Проверьте цену товара. Большинство товаров в выбранной категории стоят дороже 226",""))))),"")</f>
      </c>
    </row>
    <row r="325">
      <c r="A325" s="2" t="inlineStr">
        <is>
          <t>VitalEmb</t>
        </is>
      </c>
      <c r="B325" s="2" t="inlineStr">
        <is>
          <t>Декор для одежды</t>
        </is>
      </c>
      <c r="C325" s="2">
        <v>722394043</v>
      </c>
      <c r="D325" s="2" t="inlineStr">
        <is>
          <t>bplapict0027</t>
        </is>
      </c>
      <c r="E325" s="2" t="inlineStr">
        <is>
          <t>2048021191664</t>
        </is>
      </c>
      <c r="F325" s="2">
        <v>12</v>
      </c>
      <c r="G325" s="2">
        <v>0</v>
      </c>
      <c r="H325" s="2">
        <v>186</v>
      </c>
      <c r="I325" s="2" t="inlineStr">
        <is>
          <t>1100</t>
        </is>
      </c>
      <c r="J325" s="4"/>
      <c r="K325" s="2">
        <v>53</v>
      </c>
      <c r="L325" s="6"/>
      <c r="M325" s="2" t="str">
        <f>IF(J325="",ROUND(I325*(1-IF(ISBLANK(L325),K325,L325)/100),2),ROUND(J325*(1-IF(ISBLANK(L325),K325,L325)/100),2))</f>
      </c>
      <c r="N325" s="7" t="str">
        <f>IF(NOT(AND(J325="",L325="")),IF(OR(AND(L325&lt;&gt;"",NOT(ISNUMBER(L325))),IFERROR(MOD(L325,1),1)&gt;0,AND(ISNUMBER(L325),OR(L325&lt;0,L325&gt;95))),"Введите целое число от 0 до 95",IF(OR(AND(J325&lt;&gt;"",NOT(ISNUMBER(J325))),IFERROR(MOD(J325,1),1)&gt;0,AND(ISNUMBER(J325),OR(J325&lt;50,J325&gt;20000000))),"Введите целое число от 50 до 20000000",IF(NOT(ABS(IFERROR(VALUE(LEFT(M325,FIND("-",M325)-1)),M325)*100-(2500+2000000000)/2)&lt;=ABS(2500-2000000000)/2),"Цена со скидкой должна быть от 25 до 20000000",IF(IFERROR(VALUE(LEFT(M325,FIND("-",M325)-1)),M325)*229&lt;51700,"Вы уменьшили цену в несколько раз, товар попадет в карантин цен",IF(AND(IFERROR(VALUE(I325),0)=0,ISNUMBER(J325),OR(J325&lt;226,ABS(IFERROR(VALUE(LEFT(M325,FIND("-",M325)-1)),M325))*100&lt;22600)),"Проверьте цену товара. Большинство товаров в выбранной категории стоят дороже 226",""))))),"")</f>
      </c>
    </row>
    <row r="326">
      <c r="A326" s="2" t="inlineStr">
        <is>
          <t>VitalEmb</t>
        </is>
      </c>
      <c r="B326" s="2" t="inlineStr">
        <is>
          <t>Декор для одежды</t>
        </is>
      </c>
      <c r="C326" s="2">
        <v>682560662</v>
      </c>
      <c r="D326" s="2" t="inlineStr">
        <is>
          <t>ynng0003_222629_form0025</t>
        </is>
      </c>
      <c r="E326" s="2" t="inlineStr">
        <is>
          <t>2047700209553</t>
        </is>
      </c>
      <c r="F326" s="2">
        <v>9</v>
      </c>
      <c r="G326" s="2">
        <v>0</v>
      </c>
      <c r="H326" s="2">
        <v>298</v>
      </c>
      <c r="I326" s="2" t="inlineStr">
        <is>
          <t>1100</t>
        </is>
      </c>
      <c r="J326" s="4"/>
      <c r="K326" s="2">
        <v>57</v>
      </c>
      <c r="L326" s="6"/>
      <c r="M326" s="2" t="str">
        <f>IF(J326="",ROUND(I326*(1-IF(ISBLANK(L326),K326,L326)/100),2),ROUND(J326*(1-IF(ISBLANK(L326),K326,L326)/100),2))</f>
      </c>
      <c r="N326" s="7" t="str">
        <f>IF(NOT(AND(J326="",L326="")),IF(OR(AND(L326&lt;&gt;"",NOT(ISNUMBER(L326))),IFERROR(MOD(L326,1),1)&gt;0,AND(ISNUMBER(L326),OR(L326&lt;0,L326&gt;95))),"Введите целое число от 0 до 95",IF(OR(AND(J326&lt;&gt;"",NOT(ISNUMBER(J326))),IFERROR(MOD(J326,1),1)&gt;0,AND(ISNUMBER(J326),OR(J326&lt;50,J326&gt;20000000))),"Введите целое число от 50 до 20000000",IF(NOT(ABS(IFERROR(VALUE(LEFT(M326,FIND("-",M326)-1)),M326)*100-(2500+2000000000)/2)&lt;=ABS(2500-2000000000)/2),"Цена со скидкой должна быть от 25 до 20000000",IF(IFERROR(VALUE(LEFT(M326,FIND("-",M326)-1)),M326)*229&lt;47300,"Вы уменьшили цену в несколько раз, товар попадет в карантин цен",IF(AND(IFERROR(VALUE(I326),0)=0,ISNUMBER(J326),OR(J326&lt;226,ABS(IFERROR(VALUE(LEFT(M326,FIND("-",M326)-1)),M326))*100&lt;22600)),"Проверьте цену товара. Большинство товаров в выбранной категории стоят дороже 226",""))))),"")</f>
      </c>
    </row>
    <row r="327">
      <c r="A327" s="2" t="inlineStr">
        <is>
          <t>VitalEmb</t>
        </is>
      </c>
      <c r="B327" s="2" t="inlineStr">
        <is>
          <t>Декор для одежды</t>
        </is>
      </c>
      <c r="C327" s="2">
        <v>612401280</v>
      </c>
      <c r="D327" s="2" t="inlineStr">
        <is>
          <t>pzngol0024_222224</t>
        </is>
      </c>
      <c r="E327" s="2" t="inlineStr">
        <is>
          <t>2047245647575</t>
        </is>
      </c>
      <c r="F327" s="2">
        <v>16</v>
      </c>
      <c r="G327" s="2">
        <v>0</v>
      </c>
      <c r="H327" s="2">
        <v>507</v>
      </c>
      <c r="I327" s="2" t="inlineStr">
        <is>
          <t>1100</t>
        </is>
      </c>
      <c r="J327" s="4"/>
      <c r="K327" s="2">
        <v>63</v>
      </c>
      <c r="L327" s="6"/>
      <c r="M327" s="2" t="str">
        <f>IF(J327="",ROUND(I327*(1-IF(ISBLANK(L327),K327,L327)/100),2),ROUND(J327*(1-IF(ISBLANK(L327),K327,L327)/100),2))</f>
      </c>
      <c r="N327" s="7" t="str">
        <f>IF(NOT(AND(J327="",L327="")),IF(OR(AND(L327&lt;&gt;"",NOT(ISNUMBER(L327))),IFERROR(MOD(L327,1),1)&gt;0,AND(ISNUMBER(L327),OR(L327&lt;0,L327&gt;95))),"Введите целое число от 0 до 95",IF(OR(AND(J327&lt;&gt;"",NOT(ISNUMBER(J327))),IFERROR(MOD(J327,1),1)&gt;0,AND(ISNUMBER(J327),OR(J327&lt;50,J327&gt;20000000))),"Введите целое число от 50 до 20000000",IF(NOT(ABS(IFERROR(VALUE(LEFT(M327,FIND("-",M327)-1)),M327)*100-(2500+2000000000)/2)&lt;=ABS(2500-2000000000)/2),"Цена со скидкой должна быть от 25 до 20000000",IF(IFERROR(VALUE(LEFT(M327,FIND("-",M327)-1)),M327)*229&lt;40700,"Вы уменьшили цену в несколько раз, товар попадет в карантин цен",IF(AND(IFERROR(VALUE(I327),0)=0,ISNUMBER(J327),OR(J327&lt;226,ABS(IFERROR(VALUE(LEFT(M327,FIND("-",M327)-1)),M327))*100&lt;22600)),"Проверьте цену товара. Большинство товаров в выбранной категории стоят дороже 226",""))))),"")</f>
      </c>
    </row>
    <row r="328">
      <c r="A328" s="2" t="inlineStr">
        <is>
          <t>VitalEmb</t>
        </is>
      </c>
      <c r="B328" s="2" t="inlineStr">
        <is>
          <t>Декор для одежды</t>
        </is>
      </c>
      <c r="C328" s="2">
        <v>613141723</v>
      </c>
      <c r="D328" s="2" t="inlineStr">
        <is>
          <t>oopict0017_pict0002_3</t>
        </is>
      </c>
      <c r="E328" s="2" t="inlineStr">
        <is>
          <t>2047258345758</t>
        </is>
      </c>
      <c r="F328" s="2">
        <v>11</v>
      </c>
      <c r="G328" s="2">
        <v>0</v>
      </c>
      <c r="H328" s="2">
        <v>335</v>
      </c>
      <c r="I328" s="2" t="inlineStr">
        <is>
          <t>1100</t>
        </is>
      </c>
      <c r="J328" s="4"/>
      <c r="K328" s="2">
        <v>63</v>
      </c>
      <c r="L328" s="6"/>
      <c r="M328" s="2" t="str">
        <f>IF(J328="",ROUND(I328*(1-IF(ISBLANK(L328),K328,L328)/100),2),ROUND(J328*(1-IF(ISBLANK(L328),K328,L328)/100),2))</f>
      </c>
      <c r="N328" s="7" t="str">
        <f>IF(NOT(AND(J328="",L328="")),IF(OR(AND(L328&lt;&gt;"",NOT(ISNUMBER(L328))),IFERROR(MOD(L328,1),1)&gt;0,AND(ISNUMBER(L328),OR(L328&lt;0,L328&gt;95))),"Введите целое число от 0 до 95",IF(OR(AND(J328&lt;&gt;"",NOT(ISNUMBER(J328))),IFERROR(MOD(J328,1),1)&gt;0,AND(ISNUMBER(J328),OR(J328&lt;50,J328&gt;20000000))),"Введите целое число от 50 до 20000000",IF(NOT(ABS(IFERROR(VALUE(LEFT(M328,FIND("-",M328)-1)),M328)*100-(2500+2000000000)/2)&lt;=ABS(2500-2000000000)/2),"Цена со скидкой должна быть от 25 до 20000000",IF(IFERROR(VALUE(LEFT(M328,FIND("-",M328)-1)),M328)*229&lt;40700,"Вы уменьшили цену в несколько раз, товар попадет в карантин цен",IF(AND(IFERROR(VALUE(I328),0)=0,ISNUMBER(J328),OR(J328&lt;226,ABS(IFERROR(VALUE(LEFT(M328,FIND("-",M328)-1)),M328))*100&lt;22600)),"Проверьте цену товара. Большинство товаров в выбранной категории стоят дороже 226",""))))),"")</f>
      </c>
    </row>
    <row r="329">
      <c r="A329" s="2" t="inlineStr">
        <is>
          <t>VitalEmb</t>
        </is>
      </c>
      <c r="B329" s="2" t="inlineStr">
        <is>
          <t>Декор для одежды</t>
        </is>
      </c>
      <c r="C329" s="2">
        <v>605153028</v>
      </c>
      <c r="D329" s="2" t="inlineStr">
        <is>
          <t>oopict0015_pict0145</t>
        </is>
      </c>
      <c r="E329" s="2" t="inlineStr">
        <is>
          <t>2047171233491</t>
        </is>
      </c>
      <c r="F329" s="2">
        <v>13</v>
      </c>
      <c r="G329" s="2">
        <v>0</v>
      </c>
      <c r="H329" s="2">
        <v>999</v>
      </c>
      <c r="I329" s="2" t="inlineStr">
        <is>
          <t>1100</t>
        </is>
      </c>
      <c r="J329" s="4"/>
      <c r="K329" s="2">
        <v>64</v>
      </c>
      <c r="L329" s="6"/>
      <c r="M329" s="2" t="str">
        <f>IF(J329="",ROUND(I329*(1-IF(ISBLANK(L329),K329,L329)/100),2),ROUND(J329*(1-IF(ISBLANK(L329),K329,L329)/100),2))</f>
      </c>
      <c r="N329" s="7" t="str">
        <f>IF(NOT(AND(J329="",L329="")),IF(OR(AND(L329&lt;&gt;"",NOT(ISNUMBER(L329))),IFERROR(MOD(L329,1),1)&gt;0,AND(ISNUMBER(L329),OR(L329&lt;0,L329&gt;95))),"Введите целое число от 0 до 95",IF(OR(AND(J329&lt;&gt;"",NOT(ISNUMBER(J329))),IFERROR(MOD(J329,1),1)&gt;0,AND(ISNUMBER(J329),OR(J329&lt;50,J329&gt;20000000))),"Введите целое число от 50 до 20000000",IF(NOT(ABS(IFERROR(VALUE(LEFT(M329,FIND("-",M329)-1)),M329)*100-(2500+2000000000)/2)&lt;=ABS(2500-2000000000)/2),"Цена со скидкой должна быть от 25 до 20000000",IF(IFERROR(VALUE(LEFT(M329,FIND("-",M329)-1)),M329)*229&lt;39600,"Вы уменьшили цену в несколько раз, товар попадет в карантин цен",IF(AND(IFERROR(VALUE(I329),0)=0,ISNUMBER(J329),OR(J329&lt;226,ABS(IFERROR(VALUE(LEFT(M329,FIND("-",M329)-1)),M329))*100&lt;22600)),"Проверьте цену товара. Большинство товаров в выбранной категории стоят дороже 226",""))))),"")</f>
      </c>
    </row>
    <row r="330">
      <c r="A330" s="2" t="inlineStr">
        <is>
          <t/>
        </is>
      </c>
      <c r="B330" s="2" t="inlineStr">
        <is>
          <t>Панамы</t>
        </is>
      </c>
      <c r="C330" s="2">
        <v>497701337</v>
      </c>
      <c r="D330" s="2" t="inlineStr">
        <is>
          <t>111066</t>
        </is>
      </c>
      <c r="E330" s="2" t="inlineStr">
        <is>
          <t>2045363709564</t>
        </is>
      </c>
      <c r="F330" s="2">
        <v>0</v>
      </c>
      <c r="G330" s="2">
        <v>0</v>
      </c>
      <c r="H330" s="2">
        <v>999</v>
      </c>
      <c r="I330" s="2" t="inlineStr">
        <is>
          <t>2600</t>
        </is>
      </c>
      <c r="J330" s="4"/>
      <c r="K330" s="2">
        <v>55</v>
      </c>
      <c r="L330" s="6"/>
      <c r="M330" s="2" t="str">
        <f>IF(J330="",ROUND(I330*(1-IF(ISBLANK(L330),K330,L330)/100),2),ROUND(J330*(1-IF(ISBLANK(L330),K330,L330)/100),2))</f>
      </c>
      <c r="N330" s="7" t="str">
        <f>IF(NOT(AND(J330="",L330="")),IF(OR(AND(L330&lt;&gt;"",NOT(ISNUMBER(L330))),IFERROR(MOD(L330,1),1)&gt;0,AND(ISNUMBER(L330),OR(L330&lt;0,L330&gt;95))),"Введите целое число от 0 до 95",IF(OR(AND(J330&lt;&gt;"",NOT(ISNUMBER(J330))),IFERROR(MOD(J330,1),1)&gt;0,AND(ISNUMBER(J330),OR(J330&lt;50,J330&gt;20000000))),"Введите целое число от 50 до 20000000",IF(NOT(ABS(IFERROR(VALUE(LEFT(M330,FIND("-",M330)-1)),M330)*100-(2500+2000000000)/2)&lt;=ABS(2500-2000000000)/2),"Цена со скидкой должна быть от 25 до 20000000",IF(IFERROR(VALUE(LEFT(M330,FIND("-",M330)-1)),M330)*200&lt;116999,"Вы уменьшили цену в несколько раз, товар попадет в карантин цен",IF(AND(IFERROR(VALUE(I330),0)=0,ISNUMBER(J330),OR(J330&lt;327,ABS(IFERROR(VALUE(LEFT(M330,FIND("-",M330)-1)),M330))*100&lt;32700)),"Проверьте цену товара. Большинство товаров в выбранной категории стоят дороже 327",""))))),"")</f>
      </c>
    </row>
    <row r="331">
      <c r="A331" s="2" t="inlineStr">
        <is>
          <t/>
        </is>
      </c>
      <c r="B331" s="2" t="inlineStr">
        <is>
          <t>Аксессуары для оружия</t>
        </is>
      </c>
      <c r="C331" s="2">
        <v>454127240</v>
      </c>
      <c r="D331" s="2" t="inlineStr">
        <is>
          <t>111046</t>
        </is>
      </c>
      <c r="E331" s="2" t="inlineStr">
        <is>
          <t>2044640131234</t>
        </is>
      </c>
      <c r="F331" s="2">
        <v>17</v>
      </c>
      <c r="G331" s="2">
        <v>0</v>
      </c>
      <c r="H331" s="2">
        <v>999</v>
      </c>
      <c r="I331" s="2" t="inlineStr">
        <is>
          <t>2000</t>
        </is>
      </c>
      <c r="J331" s="4"/>
      <c r="K331" s="2">
        <v>69</v>
      </c>
      <c r="L331" s="6"/>
      <c r="M331" s="2" t="str">
        <f>IF(J331="",ROUND(I331*(1-IF(ISBLANK(L331),K331,L331)/100),2),ROUND(J331*(1-IF(ISBLANK(L331),K331,L331)/100),2))</f>
      </c>
      <c r="N331" s="7" t="str">
        <f>IF(NOT(AND(J331="",L331="")),IF(OR(AND(L331&lt;&gt;"",NOT(ISNUMBER(L331))),IFERROR(MOD(L331,1),1)&gt;0,AND(ISNUMBER(L331),OR(L331&lt;0,L331&gt;95))),"Введите целое число от 0 до 95",IF(OR(AND(J331&lt;&gt;"",NOT(ISNUMBER(J331))),IFERROR(MOD(J331,1),1)&gt;0,AND(ISNUMBER(J331),OR(J331&lt;50,J331&gt;20000000))),"Введите целое число от 50 до 20000000",IF(NOT(ABS(IFERROR(VALUE(LEFT(M331,FIND("-",M331)-1)),M331)*100-(2500+2000000000)/2)&lt;=ABS(2500-2000000000)/2),"Цена со скидкой должна быть от 25 до 20000000",IF(IFERROR(VALUE(LEFT(M331,FIND("-",M331)-1)),M331)*160&lt;62000,"Вы уменьшили цену в несколько раз, товар попадет в карантин цен",IF(AND(IFERROR(VALUE(I331),0)=0,ISNUMBER(J331),OR(J331&lt;292,ABS(IFERROR(VALUE(LEFT(M331,FIND("-",M331)-1)),M331))*100&lt;29200)),"Проверьте цену товара. Большинство товаров в выбранной категории стоят дороже 292",""))))),"")</f>
      </c>
    </row>
    <row r="332">
      <c r="A332" s="2" t="inlineStr">
        <is>
          <t>VitalEmb</t>
        </is>
      </c>
      <c r="B332" s="2" t="inlineStr">
        <is>
          <t>Декор для одежды</t>
        </is>
      </c>
      <c r="C332" s="2">
        <v>598888580</v>
      </c>
      <c r="D332" s="2" t="inlineStr">
        <is>
          <t>vshnr0006_222622</t>
        </is>
      </c>
      <c r="E332" s="2" t="inlineStr">
        <is>
          <t>2047109672309</t>
        </is>
      </c>
      <c r="F332" s="2">
        <v>9</v>
      </c>
      <c r="G332" s="2">
        <v>0</v>
      </c>
      <c r="H332" s="2">
        <v>149</v>
      </c>
      <c r="I332" s="2" t="inlineStr">
        <is>
          <t>1100</t>
        </is>
      </c>
      <c r="J332" s="4"/>
      <c r="K332" s="2">
        <v>63</v>
      </c>
      <c r="L332" s="6"/>
      <c r="M332" s="2" t="str">
        <f>IF(J332="",ROUND(I332*(1-IF(ISBLANK(L332),K332,L332)/100),2),ROUND(J332*(1-IF(ISBLANK(L332),K332,L332)/100),2))</f>
      </c>
      <c r="N332" s="7" t="str">
        <f>IF(NOT(AND(J332="",L332="")),IF(OR(AND(L332&lt;&gt;"",NOT(ISNUMBER(L332))),IFERROR(MOD(L332,1),1)&gt;0,AND(ISNUMBER(L332),OR(L332&lt;0,L332&gt;95))),"Введите целое число от 0 до 95",IF(OR(AND(J332&lt;&gt;"",NOT(ISNUMBER(J332))),IFERROR(MOD(J332,1),1)&gt;0,AND(ISNUMBER(J332),OR(J332&lt;50,J332&gt;20000000))),"Введите целое число от 50 до 20000000",IF(NOT(ABS(IFERROR(VALUE(LEFT(M332,FIND("-",M332)-1)),M332)*100-(2500+2000000000)/2)&lt;=ABS(2500-2000000000)/2),"Цена со скидкой должна быть от 25 до 20000000",IF(IFERROR(VALUE(LEFT(M332,FIND("-",M332)-1)),M332)*229&lt;40700,"Вы уменьшили цену в несколько раз, товар попадет в карантин цен",IF(AND(IFERROR(VALUE(I332),0)=0,ISNUMBER(J332),OR(J332&lt;226,ABS(IFERROR(VALUE(LEFT(M332,FIND("-",M332)-1)),M332))*100&lt;22600)),"Проверьте цену товара. Большинство товаров в выбранной категории стоят дороже 226",""))))),"")</f>
      </c>
    </row>
    <row r="333">
      <c r="A333" s="2" t="inlineStr">
        <is>
          <t/>
        </is>
      </c>
      <c r="B333" s="2" t="inlineStr">
        <is>
          <t>Аксессуары для оружия</t>
        </is>
      </c>
      <c r="C333" s="2">
        <v>462004026</v>
      </c>
      <c r="D333" s="2" t="inlineStr">
        <is>
          <t>111057</t>
        </is>
      </c>
      <c r="E333" s="2" t="inlineStr">
        <is>
          <t>2044749017606</t>
        </is>
      </c>
      <c r="F333" s="2">
        <v>0</v>
      </c>
      <c r="G333" s="2">
        <v>0</v>
      </c>
      <c r="H333" s="2">
        <v>1</v>
      </c>
      <c r="I333" s="2" t="inlineStr">
        <is>
          <t>2000</t>
        </is>
      </c>
      <c r="J333" s="4"/>
      <c r="K333" s="2">
        <v>55</v>
      </c>
      <c r="L333" s="6"/>
      <c r="M333" s="2" t="str">
        <f>IF(J333="",ROUND(I333*(1-IF(ISBLANK(L333),K333,L333)/100),2),ROUND(J333*(1-IF(ISBLANK(L333),K333,L333)/100),2))</f>
      </c>
      <c r="N333" s="7" t="str">
        <f>IF(NOT(AND(J333="",L333="")),IF(OR(AND(L333&lt;&gt;"",NOT(ISNUMBER(L333))),IFERROR(MOD(L333,1),1)&gt;0,AND(ISNUMBER(L333),OR(L333&lt;0,L333&gt;95))),"Введите целое число от 0 до 95",IF(OR(AND(J333&lt;&gt;"",NOT(ISNUMBER(J333))),IFERROR(MOD(J333,1),1)&gt;0,AND(ISNUMBER(J333),OR(J333&lt;50,J333&gt;20000000))),"Введите целое число от 50 до 20000000",IF(NOT(ABS(IFERROR(VALUE(LEFT(M333,FIND("-",M333)-1)),M333)*100-(2500+2000000000)/2)&lt;=ABS(2500-2000000000)/2),"Цена со скидкой должна быть от 25 до 20000000",IF(IFERROR(VALUE(LEFT(M333,FIND("-",M333)-1)),M333)*160&lt;89999,"Вы уменьшили цену в несколько раз, товар попадет в карантин цен",IF(AND(IFERROR(VALUE(I333),0)=0,ISNUMBER(J333),OR(J333&lt;292,ABS(IFERROR(VALUE(LEFT(M333,FIND("-",M333)-1)),M333))*100&lt;29200)),"Проверьте цену товара. Большинство товаров в выбранной категории стоят дороже 292",""))))),"")</f>
      </c>
    </row>
    <row r="334">
      <c r="A334" s="2" t="inlineStr">
        <is>
          <t/>
        </is>
      </c>
      <c r="B334" s="2" t="inlineStr">
        <is>
          <t>Аксессуары для оружия</t>
        </is>
      </c>
      <c r="C334" s="2">
        <v>476377569</v>
      </c>
      <c r="D334" s="2" t="inlineStr">
        <is>
          <t>111062</t>
        </is>
      </c>
      <c r="E334" s="2" t="inlineStr">
        <is>
          <t>2045004395682</t>
        </is>
      </c>
      <c r="F334" s="2">
        <v>0</v>
      </c>
      <c r="G334" s="2">
        <v>0</v>
      </c>
      <c r="H334" s="2" t="inlineStr">
        <is>
          <t/>
        </is>
      </c>
      <c r="I334" s="2" t="inlineStr">
        <is>
          <t>2600</t>
        </is>
      </c>
      <c r="J334" s="4"/>
      <c r="K334" s="2">
        <v>55</v>
      </c>
      <c r="L334" s="6"/>
      <c r="M334" s="2" t="str">
        <f>IF(J334="",ROUND(I334*(1-IF(ISBLANK(L334),K334,L334)/100),2),ROUND(J334*(1-IF(ISBLANK(L334),K334,L334)/100),2))</f>
      </c>
      <c r="N334" s="7" t="str">
        <f>IF(NOT(AND(J334="",L334="")),IF(OR(AND(L334&lt;&gt;"",NOT(ISNUMBER(L334))),IFERROR(MOD(L334,1),1)&gt;0,AND(ISNUMBER(L334),OR(L334&lt;0,L334&gt;95))),"Введите целое число от 0 до 95",IF(OR(AND(J334&lt;&gt;"",NOT(ISNUMBER(J334))),IFERROR(MOD(J334,1),1)&gt;0,AND(ISNUMBER(J334),OR(J334&lt;50,J334&gt;20000000))),"Введите целое число от 50 до 20000000",IF(NOT(ABS(IFERROR(VALUE(LEFT(M334,FIND("-",M334)-1)),M334)*100-(2500+2000000000)/2)&lt;=ABS(2500-2000000000)/2),"Цена со скидкой должна быть от 25 до 20000000",IF(IFERROR(VALUE(LEFT(M334,FIND("-",M334)-1)),M334)*160&lt;116999,"Вы уменьшили цену в несколько раз, товар попадет в карантин цен",IF(AND(IFERROR(VALUE(I334),0)=0,ISNUMBER(J334),OR(J334&lt;292,ABS(IFERROR(VALUE(LEFT(M334,FIND("-",M334)-1)),M334))*100&lt;29200)),"Проверьте цену товара. Большинство товаров в выбранной категории стоят дороже 292",""))))),"")</f>
      </c>
    </row>
    <row r="335">
      <c r="A335" s="2" t="inlineStr">
        <is>
          <t/>
        </is>
      </c>
      <c r="B335" s="2" t="inlineStr">
        <is>
          <t>Головные уборы рабочие</t>
        </is>
      </c>
      <c r="C335" s="2">
        <v>410018811</v>
      </c>
      <c r="D335" s="2" t="inlineStr">
        <is>
          <t>111001</t>
        </is>
      </c>
      <c r="E335" s="2" t="inlineStr">
        <is>
          <t>2043894180777</t>
        </is>
      </c>
      <c r="F335" s="2" t="inlineStr">
        <is>
          <t/>
        </is>
      </c>
      <c r="G335" s="2" t="inlineStr">
        <is>
          <t/>
        </is>
      </c>
      <c r="H335" s="2" t="inlineStr">
        <is>
          <t/>
        </is>
      </c>
      <c r="I335" s="2" t="inlineStr">
        <is>
          <t>2000</t>
        </is>
      </c>
      <c r="J335" s="4"/>
      <c r="K335" s="2">
        <v>55</v>
      </c>
      <c r="L335" s="6"/>
      <c r="M335" s="2" t="str">
        <f>IF(J335="",ROUND(I335*(1-IF(ISBLANK(L335),K335,L335)/100),2),ROUND(J335*(1-IF(ISBLANK(L335),K335,L335)/100),2))</f>
      </c>
      <c r="N335" s="7" t="str">
        <f>IF(NOT(AND(J335="",L335="")),IF(OR(AND(L335&lt;&gt;"",NOT(ISNUMBER(L335))),IFERROR(MOD(L335,1),1)&gt;0,AND(ISNUMBER(L335),OR(L335&lt;0,L335&gt;95))),"Введите целое число от 0 до 95",IF(OR(AND(J335&lt;&gt;"",NOT(ISNUMBER(J335))),IFERROR(MOD(J335,1),1)&gt;0,AND(ISNUMBER(J335),OR(J335&lt;50,J335&gt;20000000))),"Введите целое число от 50 до 20000000",IF(NOT(ABS(IFERROR(VALUE(LEFT(M335,FIND("-",M335)-1)),M335)*100-(2500+2000000000)/2)&lt;=ABS(2500-2000000000)/2),"Цена со скидкой должна быть от 25 до 20000000",IF(IFERROR(VALUE(LEFT(M335,FIND("-",M335)-1)),M335)*200&lt;89999,"Вы уменьшили цену в несколько раз, товар попадет в карантин цен",IF(AND(IFERROR(VALUE(I335),0)=0,ISNUMBER(J335),OR(J335&lt;402,ABS(IFERROR(VALUE(LEFT(M335,FIND("-",M335)-1)),M335))*100&lt;40200)),"Проверьте цену товара. Большинство товаров в выбранной категории стоят дороже 402",""))))),"")</f>
      </c>
    </row>
    <row r="336">
      <c r="A336" s="2" t="inlineStr">
        <is>
          <t/>
        </is>
      </c>
      <c r="B336" s="2" t="inlineStr">
        <is>
          <t>Юбки рабочие</t>
        </is>
      </c>
      <c r="C336" s="2">
        <v>440363630</v>
      </c>
      <c r="D336" s="2" t="inlineStr">
        <is>
          <t>111030</t>
        </is>
      </c>
      <c r="E336" s="2" t="inlineStr">
        <is>
          <t>2044398774059</t>
        </is>
      </c>
      <c r="F336" s="2" t="inlineStr">
        <is>
          <t/>
        </is>
      </c>
      <c r="G336" s="2" t="inlineStr">
        <is>
          <t/>
        </is>
      </c>
      <c r="H336" s="2" t="inlineStr">
        <is>
          <t/>
        </is>
      </c>
      <c r="I336" s="2" t="inlineStr">
        <is>
          <t>4000</t>
        </is>
      </c>
      <c r="J336" s="4"/>
      <c r="K336" s="2">
        <v>55</v>
      </c>
      <c r="L336" s="6"/>
      <c r="M336" s="2" t="str">
        <f>IF(J336="",ROUND(I336*(1-IF(ISBLANK(L336),K336,L336)/100),2),ROUND(J336*(1-IF(ISBLANK(L336),K336,L336)/100),2))</f>
      </c>
      <c r="N336" s="7" t="str">
        <f>IF(NOT(AND(J336="",L336="")),IF(OR(AND(L336&lt;&gt;"",NOT(ISNUMBER(L336))),IFERROR(MOD(L336,1),1)&gt;0,AND(ISNUMBER(L336),OR(L336&lt;0,L336&gt;95))),"Введите целое число от 0 до 95",IF(OR(AND(J336&lt;&gt;"",NOT(ISNUMBER(J336))),IFERROR(MOD(J336,1),1)&gt;0,AND(ISNUMBER(J336),OR(J336&lt;50,J336&gt;20000000))),"Введите целое число от 50 до 20000000",IF(NOT(ABS(IFERROR(VALUE(LEFT(M336,FIND("-",M336)-1)),M336)*100-(2500+2000000000)/2)&lt;=ABS(2500-2000000000)/2),"Цена со скидкой должна быть от 25 до 20000000",IF(IFERROR(VALUE(LEFT(M336,FIND("-",M336)-1)),M336)*200&lt;179999,"Вы уменьшили цену в несколько раз, товар попадет в карантин цен",IF(AND(IFERROR(VALUE(I336),0)=0,ISNUMBER(J336),OR(J336&lt;1148,ABS(IFERROR(VALUE(LEFT(M336,FIND("-",M336)-1)),M336))*100&lt;114800)),"Проверьте цену товара. Большинство товаров в выбранной категории стоят дороже 1148",""))))),"")</f>
      </c>
    </row>
    <row r="337">
      <c r="A337" s="2" t="inlineStr">
        <is>
          <t>VitalEmb</t>
        </is>
      </c>
      <c r="B337" s="2" t="inlineStr">
        <is>
          <t>Декор для одежды</t>
        </is>
      </c>
      <c r="C337" s="2">
        <v>593185059</v>
      </c>
      <c r="D337" s="2" t="inlineStr">
        <is>
          <t>bplatext0001_text0004_222559</t>
        </is>
      </c>
      <c r="E337" s="2" t="inlineStr">
        <is>
          <t>2047046626373</t>
        </is>
      </c>
      <c r="F337" s="2">
        <v>30</v>
      </c>
      <c r="G337" s="2">
        <v>0</v>
      </c>
      <c r="H337" s="2">
        <v>909</v>
      </c>
      <c r="I337" s="2" t="inlineStr">
        <is>
          <t>1100</t>
        </is>
      </c>
      <c r="J337" s="4"/>
      <c r="K337" s="2">
        <v>62</v>
      </c>
      <c r="L337" s="6"/>
      <c r="M337" s="2" t="str">
        <f>IF(J337="",ROUND(I337*(1-IF(ISBLANK(L337),K337,L337)/100),2),ROUND(J337*(1-IF(ISBLANK(L337),K337,L337)/100),2))</f>
      </c>
      <c r="N337" s="7" t="str">
        <f>IF(NOT(AND(J337="",L337="")),IF(OR(AND(L337&lt;&gt;"",NOT(ISNUMBER(L337))),IFERROR(MOD(L337,1),1)&gt;0,AND(ISNUMBER(L337),OR(L337&lt;0,L337&gt;95))),"Введите целое число от 0 до 95",IF(OR(AND(J337&lt;&gt;"",NOT(ISNUMBER(J337))),IFERROR(MOD(J337,1),1)&gt;0,AND(ISNUMBER(J337),OR(J337&lt;50,J337&gt;20000000))),"Введите целое число от 50 до 20000000",IF(NOT(ABS(IFERROR(VALUE(LEFT(M337,FIND("-",M337)-1)),M337)*100-(2500+2000000000)/2)&lt;=ABS(2500-2000000000)/2),"Цена со скидкой должна быть от 25 до 20000000",IF(IFERROR(VALUE(LEFT(M337,FIND("-",M337)-1)),M337)*229&lt;41800,"Вы уменьшили цену в несколько раз, товар попадет в карантин цен",IF(AND(IFERROR(VALUE(I337),0)=0,ISNUMBER(J337),OR(J337&lt;226,ABS(IFERROR(VALUE(LEFT(M337,FIND("-",M337)-1)),M337))*100&lt;22600)),"Проверьте цену товара. Большинство товаров в выбранной категории стоят дороже 226",""))))),"")</f>
      </c>
    </row>
    <row r="338">
      <c r="A338" s="2" t="inlineStr">
        <is>
          <t>VitalEmb</t>
        </is>
      </c>
      <c r="B338" s="2" t="inlineStr">
        <is>
          <t>Декор для одежды</t>
        </is>
      </c>
      <c r="C338" s="2">
        <v>600431894</v>
      </c>
      <c r="D338" s="2" t="inlineStr">
        <is>
          <t>vsrfform0006_222757</t>
        </is>
      </c>
      <c r="E338" s="2" t="inlineStr">
        <is>
          <t>2047125923348</t>
        </is>
      </c>
      <c r="F338" s="2">
        <v>31</v>
      </c>
      <c r="G338" s="2">
        <v>0</v>
      </c>
      <c r="H338" s="2">
        <v>467</v>
      </c>
      <c r="I338" s="2" t="inlineStr">
        <is>
          <t>1100</t>
        </is>
      </c>
      <c r="J338" s="4"/>
      <c r="K338" s="2">
        <v>63</v>
      </c>
      <c r="L338" s="6"/>
      <c r="M338" s="2" t="str">
        <f>IF(J338="",ROUND(I338*(1-IF(ISBLANK(L338),K338,L338)/100),2),ROUND(J338*(1-IF(ISBLANK(L338),K338,L338)/100),2))</f>
      </c>
      <c r="N338" s="7" t="str">
        <f>IF(NOT(AND(J338="",L338="")),IF(OR(AND(L338&lt;&gt;"",NOT(ISNUMBER(L338))),IFERROR(MOD(L338,1),1)&gt;0,AND(ISNUMBER(L338),OR(L338&lt;0,L338&gt;95))),"Введите целое число от 0 до 95",IF(OR(AND(J338&lt;&gt;"",NOT(ISNUMBER(J338))),IFERROR(MOD(J338,1),1)&gt;0,AND(ISNUMBER(J338),OR(J338&lt;50,J338&gt;20000000))),"Введите целое число от 50 до 20000000",IF(NOT(ABS(IFERROR(VALUE(LEFT(M338,FIND("-",M338)-1)),M338)*100-(2500+2000000000)/2)&lt;=ABS(2500-2000000000)/2),"Цена со скидкой должна быть от 25 до 20000000",IF(IFERROR(VALUE(LEFT(M338,FIND("-",M338)-1)),M338)*229&lt;40700,"Вы уменьшили цену в несколько раз, товар попадет в карантин цен",IF(AND(IFERROR(VALUE(I338),0)=0,ISNUMBER(J338),OR(J338&lt;226,ABS(IFERROR(VALUE(LEFT(M338,FIND("-",M338)-1)),M338))*100&lt;22600)),"Проверьте цену товара. Большинство товаров в выбранной категории стоят дороже 226",""))))),"")</f>
      </c>
    </row>
    <row r="339">
      <c r="A339" s="2" t="inlineStr">
        <is>
          <t>VitalEmb</t>
        </is>
      </c>
      <c r="B339" s="2" t="inlineStr">
        <is>
          <t>Декор для одежды</t>
        </is>
      </c>
      <c r="C339" s="2">
        <v>649682455</v>
      </c>
      <c r="D339" s="2" t="inlineStr">
        <is>
          <t>bplapict0018</t>
        </is>
      </c>
      <c r="E339" s="2" t="inlineStr">
        <is>
          <t>2047489919247</t>
        </is>
      </c>
      <c r="F339" s="2">
        <v>30</v>
      </c>
      <c r="G339" s="2">
        <v>0</v>
      </c>
      <c r="H339" s="2">
        <v>110</v>
      </c>
      <c r="I339" s="2" t="inlineStr">
        <is>
          <t>1100</t>
        </is>
      </c>
      <c r="J339" s="4"/>
      <c r="K339" s="2">
        <v>57</v>
      </c>
      <c r="L339" s="6"/>
      <c r="M339" s="2" t="str">
        <f>IF(J339="",ROUND(I339*(1-IF(ISBLANK(L339),K339,L339)/100),2),ROUND(J339*(1-IF(ISBLANK(L339),K339,L339)/100),2))</f>
      </c>
      <c r="N339" s="7" t="str">
        <f>IF(NOT(AND(J339="",L339="")),IF(OR(AND(L339&lt;&gt;"",NOT(ISNUMBER(L339))),IFERROR(MOD(L339,1),1)&gt;0,AND(ISNUMBER(L339),OR(L339&lt;0,L339&gt;95))),"Введите целое число от 0 до 95",IF(OR(AND(J339&lt;&gt;"",NOT(ISNUMBER(J339))),IFERROR(MOD(J339,1),1)&gt;0,AND(ISNUMBER(J339),OR(J339&lt;50,J339&gt;20000000))),"Введите целое число от 50 до 20000000",IF(NOT(ABS(IFERROR(VALUE(LEFT(M339,FIND("-",M339)-1)),M339)*100-(2500+2000000000)/2)&lt;=ABS(2500-2000000000)/2),"Цена со скидкой должна быть от 25 до 20000000",IF(IFERROR(VALUE(LEFT(M339,FIND("-",M339)-1)),M339)*229&lt;47300,"Вы уменьшили цену в несколько раз, товар попадет в карантин цен",IF(AND(IFERROR(VALUE(I339),0)=0,ISNUMBER(J339),OR(J339&lt;226,ABS(IFERROR(VALUE(LEFT(M339,FIND("-",M339)-1)),M339))*100&lt;22600)),"Проверьте цену товара. Большинство товаров в выбранной категории стоят дороже 226",""))))),"")</f>
      </c>
    </row>
    <row r="340">
      <c r="A340" s="2" t="inlineStr">
        <is>
          <t>VitalEmb</t>
        </is>
      </c>
      <c r="B340" s="2" t="inlineStr">
        <is>
          <t>Декор для одежды</t>
        </is>
      </c>
      <c r="C340" s="2">
        <v>709493926</v>
      </c>
      <c r="D340" s="2" t="inlineStr">
        <is>
          <t>razpict0037</t>
        </is>
      </c>
      <c r="E340" s="2" t="inlineStr">
        <is>
          <t>2047919864710</t>
        </is>
      </c>
      <c r="F340" s="2">
        <v>13</v>
      </c>
      <c r="G340" s="2">
        <v>0</v>
      </c>
      <c r="H340" s="2">
        <v>414</v>
      </c>
      <c r="I340" s="2" t="inlineStr">
        <is>
          <t>1100</t>
        </is>
      </c>
      <c r="J340" s="4"/>
      <c r="K340" s="2">
        <v>61</v>
      </c>
      <c r="L340" s="6"/>
      <c r="M340" s="2" t="str">
        <f>IF(J340="",ROUND(I340*(1-IF(ISBLANK(L340),K340,L340)/100),2),ROUND(J340*(1-IF(ISBLANK(L340),K340,L340)/100),2))</f>
      </c>
      <c r="N340" s="7" t="str">
        <f>IF(NOT(AND(J340="",L340="")),IF(OR(AND(L340&lt;&gt;"",NOT(ISNUMBER(L340))),IFERROR(MOD(L340,1),1)&gt;0,AND(ISNUMBER(L340),OR(L340&lt;0,L340&gt;95))),"Введите целое число от 0 до 95",IF(OR(AND(J340&lt;&gt;"",NOT(ISNUMBER(J340))),IFERROR(MOD(J340,1),1)&gt;0,AND(ISNUMBER(J340),OR(J340&lt;50,J340&gt;20000000))),"Введите целое число от 50 до 20000000",IF(NOT(ABS(IFERROR(VALUE(LEFT(M340,FIND("-",M340)-1)),M340)*100-(2500+2000000000)/2)&lt;=ABS(2500-2000000000)/2),"Цена со скидкой должна быть от 25 до 20000000",IF(IFERROR(VALUE(LEFT(M340,FIND("-",M340)-1)),M340)*229&lt;42900,"Вы уменьшили цену в несколько раз, товар попадет в карантин цен",IF(AND(IFERROR(VALUE(I340),0)=0,ISNUMBER(J340),OR(J340&lt;226,ABS(IFERROR(VALUE(LEFT(M340,FIND("-",M340)-1)),M340))*100&lt;22600)),"Проверьте цену товара. Большинство товаров в выбранной категории стоят дороже 226",""))))),"")</f>
      </c>
    </row>
    <row r="341">
      <c r="A341" s="2" t="inlineStr">
        <is>
          <t>VitalEmb</t>
        </is>
      </c>
      <c r="B341" s="2" t="inlineStr">
        <is>
          <t>Декор для одежды</t>
        </is>
      </c>
      <c r="C341" s="2">
        <v>607713072</v>
      </c>
      <c r="D341" s="2" t="inlineStr">
        <is>
          <t>grvspict0002_222153</t>
        </is>
      </c>
      <c r="E341" s="2" t="inlineStr">
        <is>
          <t>2047197375175</t>
        </is>
      </c>
      <c r="F341" s="2">
        <v>14</v>
      </c>
      <c r="G341" s="2">
        <v>0</v>
      </c>
      <c r="H341" s="2">
        <v>438</v>
      </c>
      <c r="I341" s="2" t="inlineStr">
        <is>
          <t>1100</t>
        </is>
      </c>
      <c r="J341" s="4"/>
      <c r="K341" s="2">
        <v>63</v>
      </c>
      <c r="L341" s="6"/>
      <c r="M341" s="2" t="str">
        <f>IF(J341="",ROUND(I341*(1-IF(ISBLANK(L341),K341,L341)/100),2),ROUND(J341*(1-IF(ISBLANK(L341),K341,L341)/100),2))</f>
      </c>
      <c r="N341" s="7" t="str">
        <f>IF(NOT(AND(J341="",L341="")),IF(OR(AND(L341&lt;&gt;"",NOT(ISNUMBER(L341))),IFERROR(MOD(L341,1),1)&gt;0,AND(ISNUMBER(L341),OR(L341&lt;0,L341&gt;95))),"Введите целое число от 0 до 95",IF(OR(AND(J341&lt;&gt;"",NOT(ISNUMBER(J341))),IFERROR(MOD(J341,1),1)&gt;0,AND(ISNUMBER(J341),OR(J341&lt;50,J341&gt;20000000))),"Введите целое число от 50 до 20000000",IF(NOT(ABS(IFERROR(VALUE(LEFT(M341,FIND("-",M341)-1)),M341)*100-(2500+2000000000)/2)&lt;=ABS(2500-2000000000)/2),"Цена со скидкой должна быть от 25 до 20000000",IF(IFERROR(VALUE(LEFT(M341,FIND("-",M341)-1)),M341)*229&lt;40700,"Вы уменьшили цену в несколько раз, товар попадет в карантин цен",IF(AND(IFERROR(VALUE(I341),0)=0,ISNUMBER(J341),OR(J341&lt;226,ABS(IFERROR(VALUE(LEFT(M341,FIND("-",M341)-1)),M341))*100&lt;22600)),"Проверьте цену товара. Большинство товаров в выбранной категории стоят дороже 226",""))))),"")</f>
      </c>
    </row>
    <row r="342">
      <c r="A342" s="2" t="inlineStr">
        <is>
          <t>VitalEmb</t>
        </is>
      </c>
      <c r="B342" s="2" t="inlineStr">
        <is>
          <t>Декор для одежды</t>
        </is>
      </c>
      <c r="C342" s="2">
        <v>714064251</v>
      </c>
      <c r="D342" s="2" t="inlineStr">
        <is>
          <t>razpict0049</t>
        </is>
      </c>
      <c r="E342" s="2" t="inlineStr">
        <is>
          <t>2047960741756</t>
        </is>
      </c>
      <c r="F342" s="2">
        <v>25</v>
      </c>
      <c r="G342" s="2">
        <v>0</v>
      </c>
      <c r="H342" s="2">
        <v>999</v>
      </c>
      <c r="I342" s="2" t="inlineStr">
        <is>
          <t>1100</t>
        </is>
      </c>
      <c r="J342" s="4"/>
      <c r="K342" s="2">
        <v>53</v>
      </c>
      <c r="L342" s="6"/>
      <c r="M342" s="2" t="str">
        <f>IF(J342="",ROUND(I342*(1-IF(ISBLANK(L342),K342,L342)/100),2),ROUND(J342*(1-IF(ISBLANK(L342),K342,L342)/100),2))</f>
      </c>
      <c r="N342" s="7" t="str">
        <f>IF(NOT(AND(J342="",L342="")),IF(OR(AND(L342&lt;&gt;"",NOT(ISNUMBER(L342))),IFERROR(MOD(L342,1),1)&gt;0,AND(ISNUMBER(L342),OR(L342&lt;0,L342&gt;95))),"Введите целое число от 0 до 95",IF(OR(AND(J342&lt;&gt;"",NOT(ISNUMBER(J342))),IFERROR(MOD(J342,1),1)&gt;0,AND(ISNUMBER(J342),OR(J342&lt;50,J342&gt;20000000))),"Введите целое число от 50 до 20000000",IF(NOT(ABS(IFERROR(VALUE(LEFT(M342,FIND("-",M342)-1)),M342)*100-(2500+2000000000)/2)&lt;=ABS(2500-2000000000)/2),"Цена со скидкой должна быть от 25 до 20000000",IF(IFERROR(VALUE(LEFT(M342,FIND("-",M342)-1)),M342)*229&lt;51700,"Вы уменьшили цену в несколько раз, товар попадет в карантин цен",IF(AND(IFERROR(VALUE(I342),0)=0,ISNUMBER(J342),OR(J342&lt;226,ABS(IFERROR(VALUE(LEFT(M342,FIND("-",M342)-1)),M342))*100&lt;22600)),"Проверьте цену товара. Большинство товаров в выбранной категории стоят дороже 226",""))))),"")</f>
      </c>
    </row>
    <row r="343">
      <c r="A343" s="2" t="inlineStr">
        <is>
          <t>VitalEmb</t>
        </is>
      </c>
      <c r="B343" s="2" t="inlineStr">
        <is>
          <t>Декор для одежды</t>
        </is>
      </c>
      <c r="C343" s="2">
        <v>600397444</v>
      </c>
      <c r="D343" s="2" t="inlineStr">
        <is>
          <t>vsrfform0004_form0005_222314</t>
        </is>
      </c>
      <c r="E343" s="2" t="inlineStr">
        <is>
          <t>2047124950024</t>
        </is>
      </c>
      <c r="F343" s="2">
        <v>15</v>
      </c>
      <c r="G343" s="2">
        <v>0</v>
      </c>
      <c r="H343" s="2">
        <v>459</v>
      </c>
      <c r="I343" s="2" t="inlineStr">
        <is>
          <t>1100</t>
        </is>
      </c>
      <c r="J343" s="4"/>
      <c r="K343" s="2">
        <v>63</v>
      </c>
      <c r="L343" s="6"/>
      <c r="M343" s="2" t="str">
        <f>IF(J343="",ROUND(I343*(1-IF(ISBLANK(L343),K343,L343)/100),2),ROUND(J343*(1-IF(ISBLANK(L343),K343,L343)/100),2))</f>
      </c>
      <c r="N343" s="7" t="str">
        <f>IF(NOT(AND(J343="",L343="")),IF(OR(AND(L343&lt;&gt;"",NOT(ISNUMBER(L343))),IFERROR(MOD(L343,1),1)&gt;0,AND(ISNUMBER(L343),OR(L343&lt;0,L343&gt;95))),"Введите целое число от 0 до 95",IF(OR(AND(J343&lt;&gt;"",NOT(ISNUMBER(J343))),IFERROR(MOD(J343,1),1)&gt;0,AND(ISNUMBER(J343),OR(J343&lt;50,J343&gt;20000000))),"Введите целое число от 50 до 20000000",IF(NOT(ABS(IFERROR(VALUE(LEFT(M343,FIND("-",M343)-1)),M343)*100-(2500+2000000000)/2)&lt;=ABS(2500-2000000000)/2),"Цена со скидкой должна быть от 25 до 20000000",IF(IFERROR(VALUE(LEFT(M343,FIND("-",M343)-1)),M343)*229&lt;40700,"Вы уменьшили цену в несколько раз, товар попадет в карантин цен",IF(AND(IFERROR(VALUE(I343),0)=0,ISNUMBER(J343),OR(J343&lt;226,ABS(IFERROR(VALUE(LEFT(M343,FIND("-",M343)-1)),M343))*100&lt;22600)),"Проверьте цену товара. Большинство товаров в выбранной категории стоят дороже 226",""))))),"")</f>
      </c>
    </row>
    <row r="344">
      <c r="A344" s="2" t="inlineStr">
        <is>
          <t/>
        </is>
      </c>
      <c r="B344" s="2" t="inlineStr">
        <is>
          <t>Аксессуары для оружия</t>
        </is>
      </c>
      <c r="C344" s="2">
        <v>462004024</v>
      </c>
      <c r="D344" s="2" t="inlineStr">
        <is>
          <t>111055</t>
        </is>
      </c>
      <c r="E344" s="2" t="inlineStr">
        <is>
          <t>2044749017149</t>
        </is>
      </c>
      <c r="F344" s="2">
        <v>0</v>
      </c>
      <c r="G344" s="2">
        <v>0</v>
      </c>
      <c r="H344" s="2">
        <v>1</v>
      </c>
      <c r="I344" s="2" t="inlineStr">
        <is>
          <t>2000</t>
        </is>
      </c>
      <c r="J344" s="4"/>
      <c r="K344" s="2">
        <v>55</v>
      </c>
      <c r="L344" s="6"/>
      <c r="M344" s="2" t="str">
        <f>IF(J344="",ROUND(I344*(1-IF(ISBLANK(L344),K344,L344)/100),2),ROUND(J344*(1-IF(ISBLANK(L344),K344,L344)/100),2))</f>
      </c>
      <c r="N344" s="7" t="str">
        <f>IF(NOT(AND(J344="",L344="")),IF(OR(AND(L344&lt;&gt;"",NOT(ISNUMBER(L344))),IFERROR(MOD(L344,1),1)&gt;0,AND(ISNUMBER(L344),OR(L344&lt;0,L344&gt;95))),"Введите целое число от 0 до 95",IF(OR(AND(J344&lt;&gt;"",NOT(ISNUMBER(J344))),IFERROR(MOD(J344,1),1)&gt;0,AND(ISNUMBER(J344),OR(J344&lt;50,J344&gt;20000000))),"Введите целое число от 50 до 20000000",IF(NOT(ABS(IFERROR(VALUE(LEFT(M344,FIND("-",M344)-1)),M344)*100-(2500+2000000000)/2)&lt;=ABS(2500-2000000000)/2),"Цена со скидкой должна быть от 25 до 20000000",IF(IFERROR(VALUE(LEFT(M344,FIND("-",M344)-1)),M344)*160&lt;89999,"Вы уменьшили цену в несколько раз, товар попадет в карантин цен",IF(AND(IFERROR(VALUE(I344),0)=0,ISNUMBER(J344),OR(J344&lt;292,ABS(IFERROR(VALUE(LEFT(M344,FIND("-",M344)-1)),M344))*100&lt;29200)),"Проверьте цену товара. Большинство товаров в выбранной категории стоят дороже 292",""))))),"")</f>
      </c>
    </row>
    <row r="345">
      <c r="A345" s="2" t="inlineStr">
        <is>
          <t/>
        </is>
      </c>
      <c r="B345" s="2" t="inlineStr">
        <is>
          <t>Аксессуары для оружия</t>
        </is>
      </c>
      <c r="C345" s="2">
        <v>476389136</v>
      </c>
      <c r="D345" s="2" t="inlineStr">
        <is>
          <t>111065</t>
        </is>
      </c>
      <c r="E345" s="2" t="inlineStr">
        <is>
          <t>2045004842445</t>
        </is>
      </c>
      <c r="F345" s="2">
        <v>0</v>
      </c>
      <c r="G345" s="2">
        <v>0</v>
      </c>
      <c r="H345" s="2" t="inlineStr">
        <is>
          <t/>
        </is>
      </c>
      <c r="I345" s="2" t="inlineStr">
        <is>
          <t>2600</t>
        </is>
      </c>
      <c r="J345" s="4"/>
      <c r="K345" s="2">
        <v>55</v>
      </c>
      <c r="L345" s="6"/>
      <c r="M345" s="2" t="str">
        <f>IF(J345="",ROUND(I345*(1-IF(ISBLANK(L345),K345,L345)/100),2),ROUND(J345*(1-IF(ISBLANK(L345),K345,L345)/100),2))</f>
      </c>
      <c r="N345" s="7" t="str">
        <f>IF(NOT(AND(J345="",L345="")),IF(OR(AND(L345&lt;&gt;"",NOT(ISNUMBER(L345))),IFERROR(MOD(L345,1),1)&gt;0,AND(ISNUMBER(L345),OR(L345&lt;0,L345&gt;95))),"Введите целое число от 0 до 95",IF(OR(AND(J345&lt;&gt;"",NOT(ISNUMBER(J345))),IFERROR(MOD(J345,1),1)&gt;0,AND(ISNUMBER(J345),OR(J345&lt;50,J345&gt;20000000))),"Введите целое число от 50 до 20000000",IF(NOT(ABS(IFERROR(VALUE(LEFT(M345,FIND("-",M345)-1)),M345)*100-(2500+2000000000)/2)&lt;=ABS(2500-2000000000)/2),"Цена со скидкой должна быть от 25 до 20000000",IF(IFERROR(VALUE(LEFT(M345,FIND("-",M345)-1)),M345)*160&lt;116999,"Вы уменьшили цену в несколько раз, товар попадет в карантин цен",IF(AND(IFERROR(VALUE(I345),0)=0,ISNUMBER(J345),OR(J345&lt;292,ABS(IFERROR(VALUE(LEFT(M345,FIND("-",M345)-1)),M345))*100&lt;29200)),"Проверьте цену товара. Большинство товаров в выбранной категории стоят дороже 292",""))))),"")</f>
      </c>
    </row>
    <row r="346">
      <c r="A346" s="2" t="inlineStr">
        <is>
          <t/>
        </is>
      </c>
      <c r="B346" s="2" t="inlineStr">
        <is>
          <t>Аксессуары для оружия</t>
        </is>
      </c>
      <c r="C346" s="2">
        <v>462004025</v>
      </c>
      <c r="D346" s="2" t="inlineStr">
        <is>
          <t>111056</t>
        </is>
      </c>
      <c r="E346" s="2" t="inlineStr">
        <is>
          <t>2044749017286</t>
        </is>
      </c>
      <c r="F346" s="2">
        <v>0</v>
      </c>
      <c r="G346" s="2">
        <v>0</v>
      </c>
      <c r="H346" s="2" t="inlineStr">
        <is>
          <t/>
        </is>
      </c>
      <c r="I346" s="2" t="inlineStr">
        <is>
          <t>2000</t>
        </is>
      </c>
      <c r="J346" s="4"/>
      <c r="K346" s="2">
        <v>55</v>
      </c>
      <c r="L346" s="6"/>
      <c r="M346" s="2" t="str">
        <f>IF(J346="",ROUND(I346*(1-IF(ISBLANK(L346),K346,L346)/100),2),ROUND(J346*(1-IF(ISBLANK(L346),K346,L346)/100),2))</f>
      </c>
      <c r="N346" s="7" t="str">
        <f>IF(NOT(AND(J346="",L346="")),IF(OR(AND(L346&lt;&gt;"",NOT(ISNUMBER(L346))),IFERROR(MOD(L346,1),1)&gt;0,AND(ISNUMBER(L346),OR(L346&lt;0,L346&gt;95))),"Введите целое число от 0 до 95",IF(OR(AND(J346&lt;&gt;"",NOT(ISNUMBER(J346))),IFERROR(MOD(J346,1),1)&gt;0,AND(ISNUMBER(J346),OR(J346&lt;50,J346&gt;20000000))),"Введите целое число от 50 до 20000000",IF(NOT(ABS(IFERROR(VALUE(LEFT(M346,FIND("-",M346)-1)),M346)*100-(2500+2000000000)/2)&lt;=ABS(2500-2000000000)/2),"Цена со скидкой должна быть от 25 до 20000000",IF(IFERROR(VALUE(LEFT(M346,FIND("-",M346)-1)),M346)*160&lt;89999,"Вы уменьшили цену в несколько раз, товар попадет в карантин цен",IF(AND(IFERROR(VALUE(I346),0)=0,ISNUMBER(J346),OR(J346&lt;292,ABS(IFERROR(VALUE(LEFT(M346,FIND("-",M346)-1)),M346))*100&lt;29200)),"Проверьте цену товара. Большинство товаров в выбранной категории стоят дороже 292",""))))),"")</f>
      </c>
    </row>
    <row r="347">
      <c r="A347" s="2" t="inlineStr">
        <is>
          <t>VitalEmb</t>
        </is>
      </c>
      <c r="B347" s="2" t="inlineStr">
        <is>
          <t>Декор для одежды</t>
        </is>
      </c>
      <c r="C347" s="2">
        <v>588943581</v>
      </c>
      <c r="D347" s="2" t="inlineStr">
        <is>
          <t>pzngol0016_pzol0003_222057</t>
        </is>
      </c>
      <c r="E347" s="2" t="inlineStr">
        <is>
          <t>2047011249804</t>
        </is>
      </c>
      <c r="F347" s="2">
        <v>19</v>
      </c>
      <c r="G347" s="2">
        <v>0</v>
      </c>
      <c r="H347" s="2">
        <v>999</v>
      </c>
      <c r="I347" s="2" t="inlineStr">
        <is>
          <t>1100</t>
        </is>
      </c>
      <c r="J347" s="4"/>
      <c r="K347" s="2">
        <v>63</v>
      </c>
      <c r="L347" s="6"/>
      <c r="M347" s="2" t="str">
        <f>IF(J347="",ROUND(I347*(1-IF(ISBLANK(L347),K347,L347)/100),2),ROUND(J347*(1-IF(ISBLANK(L347),K347,L347)/100),2))</f>
      </c>
      <c r="N347" s="7" t="str">
        <f>IF(NOT(AND(J347="",L347="")),IF(OR(AND(L347&lt;&gt;"",NOT(ISNUMBER(L347))),IFERROR(MOD(L347,1),1)&gt;0,AND(ISNUMBER(L347),OR(L347&lt;0,L347&gt;95))),"Введите целое число от 0 до 95",IF(OR(AND(J347&lt;&gt;"",NOT(ISNUMBER(J347))),IFERROR(MOD(J347,1),1)&gt;0,AND(ISNUMBER(J347),OR(J347&lt;50,J347&gt;20000000))),"Введите целое число от 50 до 20000000",IF(NOT(ABS(IFERROR(VALUE(LEFT(M347,FIND("-",M347)-1)),M347)*100-(2500+2000000000)/2)&lt;=ABS(2500-2000000000)/2),"Цена со скидкой должна быть от 25 до 20000000",IF(IFERROR(VALUE(LEFT(M347,FIND("-",M347)-1)),M347)*229&lt;40700,"Вы уменьшили цену в несколько раз, товар попадет в карантин цен",IF(AND(IFERROR(VALUE(I347),0)=0,ISNUMBER(J347),OR(J347&lt;226,ABS(IFERROR(VALUE(LEFT(M347,FIND("-",M347)-1)),M347))*100&lt;22600)),"Проверьте цену товара. Большинство товаров в выбранной категории стоят дороже 226",""))))),"")</f>
      </c>
    </row>
    <row r="348">
      <c r="A348" s="2" t="inlineStr">
        <is>
          <t/>
        </is>
      </c>
      <c r="B348" s="2" t="inlineStr">
        <is>
          <t>Юбки рабочие</t>
        </is>
      </c>
      <c r="C348" s="2">
        <v>440363628</v>
      </c>
      <c r="D348" s="2" t="inlineStr">
        <is>
          <t>111028</t>
        </is>
      </c>
      <c r="E348" s="2" t="inlineStr">
        <is>
          <t>2044398761431</t>
        </is>
      </c>
      <c r="F348" s="2">
        <v>0</v>
      </c>
      <c r="G348" s="2">
        <v>0</v>
      </c>
      <c r="H348" s="2">
        <v>999</v>
      </c>
      <c r="I348" s="2" t="inlineStr">
        <is>
          <t>4000</t>
        </is>
      </c>
      <c r="J348" s="4"/>
      <c r="K348" s="2">
        <v>55</v>
      </c>
      <c r="L348" s="6"/>
      <c r="M348" s="2" t="str">
        <f>IF(J348="",ROUND(I348*(1-IF(ISBLANK(L348),K348,L348)/100),2),ROUND(J348*(1-IF(ISBLANK(L348),K348,L348)/100),2))</f>
      </c>
      <c r="N348" s="7" t="str">
        <f>IF(NOT(AND(J348="",L348="")),IF(OR(AND(L348&lt;&gt;"",NOT(ISNUMBER(L348))),IFERROR(MOD(L348,1),1)&gt;0,AND(ISNUMBER(L348),OR(L348&lt;0,L348&gt;95))),"Введите целое число от 0 до 95",IF(OR(AND(J348&lt;&gt;"",NOT(ISNUMBER(J348))),IFERROR(MOD(J348,1),1)&gt;0,AND(ISNUMBER(J348),OR(J348&lt;50,J348&gt;20000000))),"Введите целое число от 50 до 20000000",IF(NOT(ABS(IFERROR(VALUE(LEFT(M348,FIND("-",M348)-1)),M348)*100-(2500+2000000000)/2)&lt;=ABS(2500-2000000000)/2),"Цена со скидкой должна быть от 25 до 20000000",IF(IFERROR(VALUE(LEFT(M348,FIND("-",M348)-1)),M348)*200&lt;179999,"Вы уменьшили цену в несколько раз, товар попадет в карантин цен",IF(AND(IFERROR(VALUE(I348),0)=0,ISNUMBER(J348),OR(J348&lt;1148,ABS(IFERROR(VALUE(LEFT(M348,FIND("-",M348)-1)),M348))*100&lt;114800)),"Проверьте цену товара. Большинство товаров в выбранной категории стоят дороже 1148",""))))),"")</f>
      </c>
    </row>
    <row r="349">
      <c r="A349" s="2" t="inlineStr">
        <is>
          <t/>
        </is>
      </c>
      <c r="B349" s="2" t="inlineStr">
        <is>
          <t>Юбки рабочие</t>
        </is>
      </c>
      <c r="C349" s="2">
        <v>440363631</v>
      </c>
      <c r="D349" s="2" t="inlineStr">
        <is>
          <t>111031</t>
        </is>
      </c>
      <c r="E349" s="2" t="inlineStr">
        <is>
          <t>2044398776237</t>
        </is>
      </c>
      <c r="F349" s="2" t="inlineStr">
        <is>
          <t/>
        </is>
      </c>
      <c r="G349" s="2" t="inlineStr">
        <is>
          <t/>
        </is>
      </c>
      <c r="H349" s="2" t="inlineStr">
        <is>
          <t/>
        </is>
      </c>
      <c r="I349" s="2" t="inlineStr">
        <is>
          <t>4000</t>
        </is>
      </c>
      <c r="J349" s="4"/>
      <c r="K349" s="2">
        <v>55</v>
      </c>
      <c r="L349" s="6"/>
      <c r="M349" s="2" t="str">
        <f>IF(J349="",ROUND(I349*(1-IF(ISBLANK(L349),K349,L349)/100),2),ROUND(J349*(1-IF(ISBLANK(L349),K349,L349)/100),2))</f>
      </c>
      <c r="N349" s="7" t="str">
        <f>IF(NOT(AND(J349="",L349="")),IF(OR(AND(L349&lt;&gt;"",NOT(ISNUMBER(L349))),IFERROR(MOD(L349,1),1)&gt;0,AND(ISNUMBER(L349),OR(L349&lt;0,L349&gt;95))),"Введите целое число от 0 до 95",IF(OR(AND(J349&lt;&gt;"",NOT(ISNUMBER(J349))),IFERROR(MOD(J349,1),1)&gt;0,AND(ISNUMBER(J349),OR(J349&lt;50,J349&gt;20000000))),"Введите целое число от 50 до 20000000",IF(NOT(ABS(IFERROR(VALUE(LEFT(M349,FIND("-",M349)-1)),M349)*100-(2500+2000000000)/2)&lt;=ABS(2500-2000000000)/2),"Цена со скидкой должна быть от 25 до 20000000",IF(IFERROR(VALUE(LEFT(M349,FIND("-",M349)-1)),M349)*200&lt;179999,"Вы уменьшили цену в несколько раз, товар попадет в карантин цен",IF(AND(IFERROR(VALUE(I349),0)=0,ISNUMBER(J349),OR(J349&lt;1148,ABS(IFERROR(VALUE(LEFT(M349,FIND("-",M349)-1)),M349))*100&lt;114800)),"Проверьте цену товара. Большинство товаров в выбранной категории стоят дороже 1148",""))))),"")</f>
      </c>
    </row>
    <row r="350">
      <c r="A350" s="2" t="inlineStr">
        <is>
          <t/>
        </is>
      </c>
      <c r="B350" s="2" t="inlineStr">
        <is>
          <t>Юбки рабочие</t>
        </is>
      </c>
      <c r="C350" s="2">
        <v>440363629</v>
      </c>
      <c r="D350" s="2" t="inlineStr">
        <is>
          <t>111029</t>
        </is>
      </c>
      <c r="E350" s="2" t="inlineStr">
        <is>
          <t>2044398764944</t>
        </is>
      </c>
      <c r="F350" s="2">
        <v>0</v>
      </c>
      <c r="G350" s="2">
        <v>0</v>
      </c>
      <c r="H350" s="2">
        <v>1</v>
      </c>
      <c r="I350" s="2" t="inlineStr">
        <is>
          <t>4000</t>
        </is>
      </c>
      <c r="J350" s="4"/>
      <c r="K350" s="2">
        <v>55</v>
      </c>
      <c r="L350" s="6"/>
      <c r="M350" s="2" t="str">
        <f>IF(J350="",ROUND(I350*(1-IF(ISBLANK(L350),K350,L350)/100),2),ROUND(J350*(1-IF(ISBLANK(L350),K350,L350)/100),2))</f>
      </c>
      <c r="N350" s="7" t="str">
        <f>IF(NOT(AND(J350="",L350="")),IF(OR(AND(L350&lt;&gt;"",NOT(ISNUMBER(L350))),IFERROR(MOD(L350,1),1)&gt;0,AND(ISNUMBER(L350),OR(L350&lt;0,L350&gt;95))),"Введите целое число от 0 до 95",IF(OR(AND(J350&lt;&gt;"",NOT(ISNUMBER(J350))),IFERROR(MOD(J350,1),1)&gt;0,AND(ISNUMBER(J350),OR(J350&lt;50,J350&gt;20000000))),"Введите целое число от 50 до 20000000",IF(NOT(ABS(IFERROR(VALUE(LEFT(M350,FIND("-",M350)-1)),M350)*100-(2500+2000000000)/2)&lt;=ABS(2500-2000000000)/2),"Цена со скидкой должна быть от 25 до 20000000",IF(IFERROR(VALUE(LEFT(M350,FIND("-",M350)-1)),M350)*200&lt;179999,"Вы уменьшили цену в несколько раз, товар попадет в карантин цен",IF(AND(IFERROR(VALUE(I350),0)=0,ISNUMBER(J350),OR(J350&lt;1148,ABS(IFERROR(VALUE(LEFT(M350,FIND("-",M350)-1)),M350))*100&lt;114800)),"Проверьте цену товара. Большинство товаров в выбранной категории стоят дороже 1148",""))))),"")</f>
      </c>
    </row>
    <row r="351">
      <c r="A351" s="2" t="inlineStr">
        <is>
          <t>VitalEmb</t>
        </is>
      </c>
      <c r="B351" s="2" t="inlineStr">
        <is>
          <t>Декор для одежды</t>
        </is>
      </c>
      <c r="C351" s="2">
        <v>607719482</v>
      </c>
      <c r="D351" s="2" t="inlineStr">
        <is>
          <t>grvspict0005_222096</t>
        </is>
      </c>
      <c r="E351" s="2" t="inlineStr">
        <is>
          <t>2047197441214</t>
        </is>
      </c>
      <c r="F351" s="2">
        <v>0</v>
      </c>
      <c r="G351" s="2">
        <v>0</v>
      </c>
      <c r="H351" s="2">
        <v>12</v>
      </c>
      <c r="I351" s="2" t="inlineStr">
        <is>
          <t>1100</t>
        </is>
      </c>
      <c r="J351" s="4"/>
      <c r="K351" s="2">
        <v>63</v>
      </c>
      <c r="L351" s="6"/>
      <c r="M351" s="2" t="str">
        <f>IF(J351="",ROUND(I351*(1-IF(ISBLANK(L351),K351,L351)/100),2),ROUND(J351*(1-IF(ISBLANK(L351),K351,L351)/100),2))</f>
      </c>
      <c r="N351" s="7" t="str">
        <f>IF(NOT(AND(J351="",L351="")),IF(OR(AND(L351&lt;&gt;"",NOT(ISNUMBER(L351))),IFERROR(MOD(L351,1),1)&gt;0,AND(ISNUMBER(L351),OR(L351&lt;0,L351&gt;95))),"Введите целое число от 0 до 95",IF(OR(AND(J351&lt;&gt;"",NOT(ISNUMBER(J351))),IFERROR(MOD(J351,1),1)&gt;0,AND(ISNUMBER(J351),OR(J351&lt;50,J351&gt;20000000))),"Введите целое число от 50 до 20000000",IF(NOT(ABS(IFERROR(VALUE(LEFT(M351,FIND("-",M351)-1)),M351)*100-(2500+2000000000)/2)&lt;=ABS(2500-2000000000)/2),"Цена со скидкой должна быть от 25 до 20000000",IF(IFERROR(VALUE(LEFT(M351,FIND("-",M351)-1)),M351)*229&lt;40700,"Вы уменьшили цену в несколько раз, товар попадет в карантин цен",IF(AND(IFERROR(VALUE(I351),0)=0,ISNUMBER(J351),OR(J351&lt;226,ABS(IFERROR(VALUE(LEFT(M351,FIND("-",M351)-1)),M351))*100&lt;22600)),"Проверьте цену товара. Большинство товаров в выбранной категории стоят дороже 226",""))))),"")</f>
      </c>
    </row>
    <row r="352">
      <c r="A352" s="2" t="inlineStr">
        <is>
          <t>VitalEmb</t>
        </is>
      </c>
      <c r="B352" s="2" t="inlineStr">
        <is>
          <t>Декор для одежды</t>
        </is>
      </c>
      <c r="C352" s="2">
        <v>613121010</v>
      </c>
      <c r="D352" s="2" t="inlineStr">
        <is>
          <t>pzngol0040_222733_222160</t>
        </is>
      </c>
      <c r="E352" s="2" t="inlineStr">
        <is>
          <t>2047257473636</t>
        </is>
      </c>
      <c r="F352" s="2">
        <v>18</v>
      </c>
      <c r="G352" s="2">
        <v>0</v>
      </c>
      <c r="H352" s="2">
        <v>999</v>
      </c>
      <c r="I352" s="2" t="inlineStr">
        <is>
          <t>1100</t>
        </is>
      </c>
      <c r="J352" s="4"/>
      <c r="K352" s="2">
        <v>63</v>
      </c>
      <c r="L352" s="6"/>
      <c r="M352" s="2" t="str">
        <f>IF(J352="",ROUND(I352*(1-IF(ISBLANK(L352),K352,L352)/100),2),ROUND(J352*(1-IF(ISBLANK(L352),K352,L352)/100),2))</f>
      </c>
      <c r="N352" s="7" t="str">
        <f>IF(NOT(AND(J352="",L352="")),IF(OR(AND(L352&lt;&gt;"",NOT(ISNUMBER(L352))),IFERROR(MOD(L352,1),1)&gt;0,AND(ISNUMBER(L352),OR(L352&lt;0,L352&gt;95))),"Введите целое число от 0 до 95",IF(OR(AND(J352&lt;&gt;"",NOT(ISNUMBER(J352))),IFERROR(MOD(J352,1),1)&gt;0,AND(ISNUMBER(J352),OR(J352&lt;50,J352&gt;20000000))),"Введите целое число от 50 до 20000000",IF(NOT(ABS(IFERROR(VALUE(LEFT(M352,FIND("-",M352)-1)),M352)*100-(2500+2000000000)/2)&lt;=ABS(2500-2000000000)/2),"Цена со скидкой должна быть от 25 до 20000000",IF(IFERROR(VALUE(LEFT(M352,FIND("-",M352)-1)),M352)*229&lt;40700,"Вы уменьшили цену в несколько раз, товар попадет в карантин цен",IF(AND(IFERROR(VALUE(I352),0)=0,ISNUMBER(J352),OR(J352&lt;226,ABS(IFERROR(VALUE(LEFT(M352,FIND("-",M352)-1)),M352))*100&lt;22600)),"Проверьте цену товара. Большинство товаров в выбранной категории стоят дороже 226",""))))),"")</f>
      </c>
    </row>
    <row r="353">
      <c r="A353" s="2" t="inlineStr">
        <is>
          <t>VitalEmb</t>
        </is>
      </c>
      <c r="B353" s="2" t="inlineStr">
        <is>
          <t>Декор для одежды</t>
        </is>
      </c>
      <c r="C353" s="2">
        <v>591212552</v>
      </c>
      <c r="D353" s="2" t="inlineStr">
        <is>
          <t>pzkit2mh0001_pzmh0039</t>
        </is>
      </c>
      <c r="E353" s="2" t="inlineStr">
        <is>
          <t>2047031080135</t>
        </is>
      </c>
      <c r="F353" s="2">
        <v>6</v>
      </c>
      <c r="G353" s="2">
        <v>0</v>
      </c>
      <c r="H353" s="2">
        <v>116</v>
      </c>
      <c r="I353" s="2" t="inlineStr">
        <is>
          <t>2000</t>
        </is>
      </c>
      <c r="J353" s="4"/>
      <c r="K353" s="2">
        <v>63</v>
      </c>
      <c r="L353" s="6"/>
      <c r="M353" s="2" t="str">
        <f>IF(J353="",ROUND(I353*(1-IF(ISBLANK(L353),K353,L353)/100),2),ROUND(J353*(1-IF(ISBLANK(L353),K353,L353)/100),2))</f>
      </c>
      <c r="N353" s="7" t="str">
        <f>IF(NOT(AND(J353="",L353="")),IF(OR(AND(L353&lt;&gt;"",NOT(ISNUMBER(L353))),IFERROR(MOD(L353,1),1)&gt;0,AND(ISNUMBER(L353),OR(L353&lt;0,L353&gt;95))),"Введите целое число от 0 до 95",IF(OR(AND(J353&lt;&gt;"",NOT(ISNUMBER(J353))),IFERROR(MOD(J353,1),1)&gt;0,AND(ISNUMBER(J353),OR(J353&lt;50,J353&gt;20000000))),"Введите целое число от 50 до 20000000",IF(NOT(ABS(IFERROR(VALUE(LEFT(M353,FIND("-",M353)-1)),M353)*100-(2500+2000000000)/2)&lt;=ABS(2500-2000000000)/2),"Цена со скидкой должна быть от 25 до 20000000",IF(IFERROR(VALUE(LEFT(M353,FIND("-",M353)-1)),M353)*229&lt;74000,"Вы уменьшили цену в несколько раз, товар попадет в карантин цен",IF(AND(IFERROR(VALUE(I353),0)=0,ISNUMBER(J353),OR(J353&lt;226,ABS(IFERROR(VALUE(LEFT(M353,FIND("-",M353)-1)),M353))*100&lt;22600)),"Проверьте цену товара. Большинство товаров в выбранной категории стоят дороже 226",""))))),"")</f>
      </c>
    </row>
    <row r="354">
      <c r="A354" s="2" t="inlineStr">
        <is>
          <t>VitalEmb</t>
        </is>
      </c>
      <c r="B354" s="2" t="inlineStr">
        <is>
          <t>Декор для одежды</t>
        </is>
      </c>
      <c r="C354" s="2">
        <v>593347860</v>
      </c>
      <c r="D354" s="2" t="inlineStr">
        <is>
          <t>pzkit2mh0011_pzmh0037</t>
        </is>
      </c>
      <c r="E354" s="2" t="inlineStr">
        <is>
          <t>2047049755445</t>
        </is>
      </c>
      <c r="F354" s="2">
        <v>10</v>
      </c>
      <c r="G354" s="2">
        <v>0</v>
      </c>
      <c r="H354" s="2">
        <v>1</v>
      </c>
      <c r="I354" s="2" t="inlineStr">
        <is>
          <t>2000</t>
        </is>
      </c>
      <c r="J354" s="4"/>
      <c r="K354" s="2">
        <v>55</v>
      </c>
      <c r="L354" s="6"/>
      <c r="M354" s="2" t="str">
        <f>IF(J354="",ROUND(I354*(1-IF(ISBLANK(L354),K354,L354)/100),2),ROUND(J354*(1-IF(ISBLANK(L354),K354,L354)/100),2))</f>
      </c>
      <c r="N354" s="7" t="str">
        <f>IF(NOT(AND(J354="",L354="")),IF(OR(AND(L354&lt;&gt;"",NOT(ISNUMBER(L354))),IFERROR(MOD(L354,1),1)&gt;0,AND(ISNUMBER(L354),OR(L354&lt;0,L354&gt;95))),"Введите целое число от 0 до 95",IF(OR(AND(J354&lt;&gt;"",NOT(ISNUMBER(J354))),IFERROR(MOD(J354,1),1)&gt;0,AND(ISNUMBER(J354),OR(J354&lt;50,J354&gt;20000000))),"Введите целое число от 50 до 20000000",IF(NOT(ABS(IFERROR(VALUE(LEFT(M354,FIND("-",M354)-1)),M354)*100-(2500+2000000000)/2)&lt;=ABS(2500-2000000000)/2),"Цена со скидкой должна быть от 25 до 20000000",IF(IFERROR(VALUE(LEFT(M354,FIND("-",M354)-1)),M354)*229&lt;89999,"Вы уменьшили цену в несколько раз, товар попадет в карантин цен",IF(AND(IFERROR(VALUE(I354),0)=0,ISNUMBER(J354),OR(J354&lt;226,ABS(IFERROR(VALUE(LEFT(M354,FIND("-",M354)-1)),M354))*100&lt;22600)),"Проверьте цену товара. Большинство товаров в выбранной категории стоят дороже 226",""))))),"")</f>
      </c>
    </row>
    <row r="355">
      <c r="A355" s="2" t="inlineStr">
        <is>
          <t>VitalEmb</t>
        </is>
      </c>
      <c r="B355" s="2" t="inlineStr">
        <is>
          <t>Декор для одежды</t>
        </is>
      </c>
      <c r="C355" s="2">
        <v>612076411</v>
      </c>
      <c r="D355" s="2" t="inlineStr">
        <is>
          <t>pzngol0022_222052</t>
        </is>
      </c>
      <c r="E355" s="2" t="inlineStr">
        <is>
          <t>2047240584189</t>
        </is>
      </c>
      <c r="F355" s="2">
        <v>4</v>
      </c>
      <c r="G355" s="2">
        <v>0</v>
      </c>
      <c r="H355" s="2">
        <v>41</v>
      </c>
      <c r="I355" s="2" t="inlineStr">
        <is>
          <t>1100</t>
        </is>
      </c>
      <c r="J355" s="4"/>
      <c r="K355" s="2">
        <v>63</v>
      </c>
      <c r="L355" s="6"/>
      <c r="M355" s="2" t="str">
        <f>IF(J355="",ROUND(I355*(1-IF(ISBLANK(L355),K355,L355)/100),2),ROUND(J355*(1-IF(ISBLANK(L355),K355,L355)/100),2))</f>
      </c>
      <c r="N355" s="7" t="str">
        <f>IF(NOT(AND(J355="",L355="")),IF(OR(AND(L355&lt;&gt;"",NOT(ISNUMBER(L355))),IFERROR(MOD(L355,1),1)&gt;0,AND(ISNUMBER(L355),OR(L355&lt;0,L355&gt;95))),"Введите целое число от 0 до 95",IF(OR(AND(J355&lt;&gt;"",NOT(ISNUMBER(J355))),IFERROR(MOD(J355,1),1)&gt;0,AND(ISNUMBER(J355),OR(J355&lt;50,J355&gt;20000000))),"Введите целое число от 50 до 20000000",IF(NOT(ABS(IFERROR(VALUE(LEFT(M355,FIND("-",M355)-1)),M355)*100-(2500+2000000000)/2)&lt;=ABS(2500-2000000000)/2),"Цена со скидкой должна быть от 25 до 20000000",IF(IFERROR(VALUE(LEFT(M355,FIND("-",M355)-1)),M355)*229&lt;40700,"Вы уменьшили цену в несколько раз, товар попадет в карантин цен",IF(AND(IFERROR(VALUE(I355),0)=0,ISNUMBER(J355),OR(J355&lt;226,ABS(IFERROR(VALUE(LEFT(M355,FIND("-",M355)-1)),M355))*100&lt;22600)),"Проверьте цену товара. Большинство товаров в выбранной категории стоят дороже 226",""))))),"")</f>
      </c>
    </row>
    <row r="356">
      <c r="A356" s="2" t="inlineStr">
        <is>
          <t>VitalEmb</t>
        </is>
      </c>
      <c r="B356" s="2" t="inlineStr">
        <is>
          <t>Декор для одежды</t>
        </is>
      </c>
      <c r="C356" s="2">
        <v>613468790</v>
      </c>
      <c r="D356" s="2" t="inlineStr">
        <is>
          <t>pzngmh0028_222941</t>
        </is>
      </c>
      <c r="E356" s="2" t="inlineStr">
        <is>
          <t>2047262557048</t>
        </is>
      </c>
      <c r="F356" s="2">
        <v>8</v>
      </c>
      <c r="G356" s="2">
        <v>0</v>
      </c>
      <c r="H356" s="2">
        <v>49</v>
      </c>
      <c r="I356" s="2" t="inlineStr">
        <is>
          <t>1100</t>
        </is>
      </c>
      <c r="J356" s="4"/>
      <c r="K356" s="2">
        <v>63</v>
      </c>
      <c r="L356" s="6"/>
      <c r="M356" s="2" t="str">
        <f>IF(J356="",ROUND(I356*(1-IF(ISBLANK(L356),K356,L356)/100),2),ROUND(J356*(1-IF(ISBLANK(L356),K356,L356)/100),2))</f>
      </c>
      <c r="N356" s="7" t="str">
        <f>IF(NOT(AND(J356="",L356="")),IF(OR(AND(L356&lt;&gt;"",NOT(ISNUMBER(L356))),IFERROR(MOD(L356,1),1)&gt;0,AND(ISNUMBER(L356),OR(L356&lt;0,L356&gt;95))),"Введите целое число от 0 до 95",IF(OR(AND(J356&lt;&gt;"",NOT(ISNUMBER(J356))),IFERROR(MOD(J356,1),1)&gt;0,AND(ISNUMBER(J356),OR(J356&lt;50,J356&gt;20000000))),"Введите целое число от 50 до 20000000",IF(NOT(ABS(IFERROR(VALUE(LEFT(M356,FIND("-",M356)-1)),M356)*100-(2500+2000000000)/2)&lt;=ABS(2500-2000000000)/2),"Цена со скидкой должна быть от 25 до 20000000",IF(IFERROR(VALUE(LEFT(M356,FIND("-",M356)-1)),M356)*229&lt;40700,"Вы уменьшили цену в несколько раз, товар попадет в карантин цен",IF(AND(IFERROR(VALUE(I356),0)=0,ISNUMBER(J356),OR(J356&lt;226,ABS(IFERROR(VALUE(LEFT(M356,FIND("-",M356)-1)),M356))*100&lt;22600)),"Проверьте цену товара. Большинство товаров в выбранной категории стоят дороже 226",""))))),"")</f>
      </c>
    </row>
    <row r="357">
      <c r="A357" s="2" t="inlineStr">
        <is>
          <t>VitalEmb</t>
        </is>
      </c>
      <c r="B357" s="2" t="inlineStr">
        <is>
          <t>Декор для одежды</t>
        </is>
      </c>
      <c r="C357" s="2">
        <v>611976607</v>
      </c>
      <c r="D357" s="2" t="inlineStr">
        <is>
          <t>pzngmh0011_222953</t>
        </is>
      </c>
      <c r="E357" s="2" t="inlineStr">
        <is>
          <t>2047239319969</t>
        </is>
      </c>
      <c r="F357" s="2">
        <v>18</v>
      </c>
      <c r="G357" s="2">
        <v>0</v>
      </c>
      <c r="H357" s="2">
        <v>570</v>
      </c>
      <c r="I357" s="2" t="inlineStr">
        <is>
          <t>1100</t>
        </is>
      </c>
      <c r="J357" s="4"/>
      <c r="K357" s="2">
        <v>63</v>
      </c>
      <c r="L357" s="6"/>
      <c r="M357" s="2" t="str">
        <f>IF(J357="",ROUND(I357*(1-IF(ISBLANK(L357),K357,L357)/100),2),ROUND(J357*(1-IF(ISBLANK(L357),K357,L357)/100),2))</f>
      </c>
      <c r="N357" s="7" t="str">
        <f>IF(NOT(AND(J357="",L357="")),IF(OR(AND(L357&lt;&gt;"",NOT(ISNUMBER(L357))),IFERROR(MOD(L357,1),1)&gt;0,AND(ISNUMBER(L357),OR(L357&lt;0,L357&gt;95))),"Введите целое число от 0 до 95",IF(OR(AND(J357&lt;&gt;"",NOT(ISNUMBER(J357))),IFERROR(MOD(J357,1),1)&gt;0,AND(ISNUMBER(J357),OR(J357&lt;50,J357&gt;20000000))),"Введите целое число от 50 до 20000000",IF(NOT(ABS(IFERROR(VALUE(LEFT(M357,FIND("-",M357)-1)),M357)*100-(2500+2000000000)/2)&lt;=ABS(2500-2000000000)/2),"Цена со скидкой должна быть от 25 до 20000000",IF(IFERROR(VALUE(LEFT(M357,FIND("-",M357)-1)),M357)*229&lt;40700,"Вы уменьшили цену в несколько раз, товар попадет в карантин цен",IF(AND(IFERROR(VALUE(I357),0)=0,ISNUMBER(J357),OR(J357&lt;226,ABS(IFERROR(VALUE(LEFT(M357,FIND("-",M357)-1)),M357))*100&lt;22600)),"Проверьте цену товара. Большинство товаров в выбранной категории стоят дороже 226",""))))),"")</f>
      </c>
    </row>
    <row r="358">
      <c r="A358" s="2" t="inlineStr">
        <is>
          <t>VitalEmb</t>
        </is>
      </c>
      <c r="B358" s="2" t="inlineStr">
        <is>
          <t>Декор для одежды</t>
        </is>
      </c>
      <c r="C358" s="2">
        <v>612410882</v>
      </c>
      <c r="D358" s="2" t="inlineStr">
        <is>
          <t>pzngol0030_222714</t>
        </is>
      </c>
      <c r="E358" s="2" t="inlineStr">
        <is>
          <t>2047245817671</t>
        </is>
      </c>
      <c r="F358" s="2">
        <v>7</v>
      </c>
      <c r="G358" s="2">
        <v>0</v>
      </c>
      <c r="H358" s="2">
        <v>999</v>
      </c>
      <c r="I358" s="2" t="inlineStr">
        <is>
          <t>1100</t>
        </is>
      </c>
      <c r="J358" s="4"/>
      <c r="K358" s="2">
        <v>63</v>
      </c>
      <c r="L358" s="6"/>
      <c r="M358" s="2" t="str">
        <f>IF(J358="",ROUND(I358*(1-IF(ISBLANK(L358),K358,L358)/100),2),ROUND(J358*(1-IF(ISBLANK(L358),K358,L358)/100),2))</f>
      </c>
      <c r="N358" s="7" t="str">
        <f>IF(NOT(AND(J358="",L358="")),IF(OR(AND(L358&lt;&gt;"",NOT(ISNUMBER(L358))),IFERROR(MOD(L358,1),1)&gt;0,AND(ISNUMBER(L358),OR(L358&lt;0,L358&gt;95))),"Введите целое число от 0 до 95",IF(OR(AND(J358&lt;&gt;"",NOT(ISNUMBER(J358))),IFERROR(MOD(J358,1),1)&gt;0,AND(ISNUMBER(J358),OR(J358&lt;50,J358&gt;20000000))),"Введите целое число от 50 до 20000000",IF(NOT(ABS(IFERROR(VALUE(LEFT(M358,FIND("-",M358)-1)),M358)*100-(2500+2000000000)/2)&lt;=ABS(2500-2000000000)/2),"Цена со скидкой должна быть от 25 до 20000000",IF(IFERROR(VALUE(LEFT(M358,FIND("-",M358)-1)),M358)*229&lt;40700,"Вы уменьшили цену в несколько раз, товар попадет в карантин цен",IF(AND(IFERROR(VALUE(I358),0)=0,ISNUMBER(J358),OR(J358&lt;226,ABS(IFERROR(VALUE(LEFT(M358,FIND("-",M358)-1)),M358))*100&lt;22600)),"Проверьте цену товара. Большинство товаров в выбранной категории стоят дороже 226",""))))),"")</f>
      </c>
    </row>
    <row r="359">
      <c r="A359" s="2" t="inlineStr">
        <is>
          <t>VitalEmb</t>
        </is>
      </c>
      <c r="B359" s="2" t="inlineStr">
        <is>
          <t>Декор для одежды</t>
        </is>
      </c>
      <c r="C359" s="2">
        <v>613133375</v>
      </c>
      <c r="D359" s="2" t="inlineStr">
        <is>
          <t>pzngol0041_222841</t>
        </is>
      </c>
      <c r="E359" s="2" t="inlineStr">
        <is>
          <t>2047258073965</t>
        </is>
      </c>
      <c r="F359" s="2">
        <v>12</v>
      </c>
      <c r="G359" s="2">
        <v>0</v>
      </c>
      <c r="H359" s="2">
        <v>189</v>
      </c>
      <c r="I359" s="2" t="inlineStr">
        <is>
          <t>1100</t>
        </is>
      </c>
      <c r="J359" s="4"/>
      <c r="K359" s="2">
        <v>63</v>
      </c>
      <c r="L359" s="6"/>
      <c r="M359" s="2" t="str">
        <f>IF(J359="",ROUND(I359*(1-IF(ISBLANK(L359),K359,L359)/100),2),ROUND(J359*(1-IF(ISBLANK(L359),K359,L359)/100),2))</f>
      </c>
      <c r="N359" s="7" t="str">
        <f>IF(NOT(AND(J359="",L359="")),IF(OR(AND(L359&lt;&gt;"",NOT(ISNUMBER(L359))),IFERROR(MOD(L359,1),1)&gt;0,AND(ISNUMBER(L359),OR(L359&lt;0,L359&gt;95))),"Введите целое число от 0 до 95",IF(OR(AND(J359&lt;&gt;"",NOT(ISNUMBER(J359))),IFERROR(MOD(J359,1),1)&gt;0,AND(ISNUMBER(J359),OR(J359&lt;50,J359&gt;20000000))),"Введите целое число от 50 до 20000000",IF(NOT(ABS(IFERROR(VALUE(LEFT(M359,FIND("-",M359)-1)),M359)*100-(2500+2000000000)/2)&lt;=ABS(2500-2000000000)/2),"Цена со скидкой должна быть от 25 до 20000000",IF(IFERROR(VALUE(LEFT(M359,FIND("-",M359)-1)),M359)*229&lt;40700,"Вы уменьшили цену в несколько раз, товар попадет в карантин цен",IF(AND(IFERROR(VALUE(I359),0)=0,ISNUMBER(J359),OR(J359&lt;226,ABS(IFERROR(VALUE(LEFT(M359,FIND("-",M359)-1)),M359))*100&lt;22600)),"Проверьте цену товара. Большинство товаров в выбранной категории стоят дороже 226",""))))),"")</f>
      </c>
    </row>
    <row r="360">
      <c r="A360" s="2" t="inlineStr">
        <is>
          <t>VitalEmb</t>
        </is>
      </c>
      <c r="B360" s="2" t="inlineStr">
        <is>
          <t>Декор для одежды</t>
        </is>
      </c>
      <c r="C360" s="2">
        <v>613267183</v>
      </c>
      <c r="D360" s="2" t="inlineStr">
        <is>
          <t>pzngol0053_222159</t>
        </is>
      </c>
      <c r="E360" s="2" t="inlineStr">
        <is>
          <t>2047260068713</t>
        </is>
      </c>
      <c r="F360" s="2">
        <v>20</v>
      </c>
      <c r="G360" s="2">
        <v>0</v>
      </c>
      <c r="H360" s="2">
        <v>999</v>
      </c>
      <c r="I360" s="2" t="inlineStr">
        <is>
          <t>1100</t>
        </is>
      </c>
      <c r="J360" s="4"/>
      <c r="K360" s="2">
        <v>63</v>
      </c>
      <c r="L360" s="6"/>
      <c r="M360" s="2" t="str">
        <f>IF(J360="",ROUND(I360*(1-IF(ISBLANK(L360),K360,L360)/100),2),ROUND(J360*(1-IF(ISBLANK(L360),K360,L360)/100),2))</f>
      </c>
      <c r="N360" s="7" t="str">
        <f>IF(NOT(AND(J360="",L360="")),IF(OR(AND(L360&lt;&gt;"",NOT(ISNUMBER(L360))),IFERROR(MOD(L360,1),1)&gt;0,AND(ISNUMBER(L360),OR(L360&lt;0,L360&gt;95))),"Введите целое число от 0 до 95",IF(OR(AND(J360&lt;&gt;"",NOT(ISNUMBER(J360))),IFERROR(MOD(J360,1),1)&gt;0,AND(ISNUMBER(J360),OR(J360&lt;50,J360&gt;20000000))),"Введите целое число от 50 до 20000000",IF(NOT(ABS(IFERROR(VALUE(LEFT(M360,FIND("-",M360)-1)),M360)*100-(2500+2000000000)/2)&lt;=ABS(2500-2000000000)/2),"Цена со скидкой должна быть от 25 до 20000000",IF(IFERROR(VALUE(LEFT(M360,FIND("-",M360)-1)),M360)*229&lt;40700,"Вы уменьшили цену в несколько раз, товар попадет в карантин цен",IF(AND(IFERROR(VALUE(I360),0)=0,ISNUMBER(J360),OR(J360&lt;226,ABS(IFERROR(VALUE(LEFT(M360,FIND("-",M360)-1)),M360))*100&lt;22600)),"Проверьте цену товара. Большинство товаров в выбранной категории стоят дороже 226",""))))),"")</f>
      </c>
    </row>
    <row r="361">
      <c r="A361" s="2" t="inlineStr">
        <is>
          <t>VitalEmb</t>
        </is>
      </c>
      <c r="B361" s="2" t="inlineStr">
        <is>
          <t>Декор для одежды</t>
        </is>
      </c>
      <c r="C361" s="2">
        <v>612050201</v>
      </c>
      <c r="D361" s="2" t="inlineStr">
        <is>
          <t>pzngol0020_222063</t>
        </is>
      </c>
      <c r="E361" s="2" t="inlineStr">
        <is>
          <t>2047240362343</t>
        </is>
      </c>
      <c r="F361" s="2">
        <v>9</v>
      </c>
      <c r="G361" s="2">
        <v>0</v>
      </c>
      <c r="H361" s="2">
        <v>1</v>
      </c>
      <c r="I361" s="2" t="inlineStr">
        <is>
          <t>1100</t>
        </is>
      </c>
      <c r="J361" s="4"/>
      <c r="K361" s="2">
        <v>55</v>
      </c>
      <c r="L361" s="6"/>
      <c r="M361" s="2" t="str">
        <f>IF(J361="",ROUND(I361*(1-IF(ISBLANK(L361),K361,L361)/100),2),ROUND(J361*(1-IF(ISBLANK(L361),K361,L361)/100),2))</f>
      </c>
      <c r="N361" s="7" t="str">
        <f>IF(NOT(AND(J361="",L361="")),IF(OR(AND(L361&lt;&gt;"",NOT(ISNUMBER(L361))),IFERROR(MOD(L361,1),1)&gt;0,AND(ISNUMBER(L361),OR(L361&lt;0,L361&gt;95))),"Введите целое число от 0 до 95",IF(OR(AND(J361&lt;&gt;"",NOT(ISNUMBER(J361))),IFERROR(MOD(J361,1),1)&gt;0,AND(ISNUMBER(J361),OR(J361&lt;50,J361&gt;20000000))),"Введите целое число от 50 до 20000000",IF(NOT(ABS(IFERROR(VALUE(LEFT(M361,FIND("-",M361)-1)),M361)*100-(2500+2000000000)/2)&lt;=ABS(2500-2000000000)/2),"Цена со скидкой должна быть от 25 до 20000000",IF(IFERROR(VALUE(LEFT(M361,FIND("-",M361)-1)),M361)*229&lt;49499,"Вы уменьшили цену в несколько раз, товар попадет в карантин цен",IF(AND(IFERROR(VALUE(I361),0)=0,ISNUMBER(J361),OR(J361&lt;226,ABS(IFERROR(VALUE(LEFT(M361,FIND("-",M361)-1)),M361))*100&lt;22600)),"Проверьте цену товара. Большинство товаров в выбранной категории стоят дороже 226",""))))),"")</f>
      </c>
    </row>
    <row r="362">
      <c r="A362" s="2" t="inlineStr">
        <is>
          <t>VitalEmb</t>
        </is>
      </c>
      <c r="B362" s="2" t="inlineStr">
        <is>
          <t>Декор для одежды</t>
        </is>
      </c>
      <c r="C362" s="2">
        <v>596282880</v>
      </c>
      <c r="D362" s="2" t="inlineStr">
        <is>
          <t>vshng0002_222379</t>
        </is>
      </c>
      <c r="E362" s="2" t="inlineStr">
        <is>
          <t>2047079728037</t>
        </is>
      </c>
      <c r="F362" s="2">
        <v>15</v>
      </c>
      <c r="G362" s="2">
        <v>0</v>
      </c>
      <c r="H362" s="2">
        <v>449</v>
      </c>
      <c r="I362" s="2" t="inlineStr">
        <is>
          <t>1100</t>
        </is>
      </c>
      <c r="J362" s="4"/>
      <c r="K362" s="2">
        <v>63</v>
      </c>
      <c r="L362" s="6"/>
      <c r="M362" s="2" t="str">
        <f>IF(J362="",ROUND(I362*(1-IF(ISBLANK(L362),K362,L362)/100),2),ROUND(J362*(1-IF(ISBLANK(L362),K362,L362)/100),2))</f>
      </c>
      <c r="N362" s="7" t="str">
        <f>IF(NOT(AND(J362="",L362="")),IF(OR(AND(L362&lt;&gt;"",NOT(ISNUMBER(L362))),IFERROR(MOD(L362,1),1)&gt;0,AND(ISNUMBER(L362),OR(L362&lt;0,L362&gt;95))),"Введите целое число от 0 до 95",IF(OR(AND(J362&lt;&gt;"",NOT(ISNUMBER(J362))),IFERROR(MOD(J362,1),1)&gt;0,AND(ISNUMBER(J362),OR(J362&lt;50,J362&gt;20000000))),"Введите целое число от 50 до 20000000",IF(NOT(ABS(IFERROR(VALUE(LEFT(M362,FIND("-",M362)-1)),M362)*100-(2500+2000000000)/2)&lt;=ABS(2500-2000000000)/2),"Цена со скидкой должна быть от 25 до 20000000",IF(IFERROR(VALUE(LEFT(M362,FIND("-",M362)-1)),M362)*229&lt;40700,"Вы уменьшили цену в несколько раз, товар попадет в карантин цен",IF(AND(IFERROR(VALUE(I362),0)=0,ISNUMBER(J362),OR(J362&lt;226,ABS(IFERROR(VALUE(LEFT(M362,FIND("-",M362)-1)),M362))*100&lt;22600)),"Проверьте цену товара. Большинство товаров в выбранной категории стоят дороже 226",""))))),"")</f>
      </c>
    </row>
    <row r="363">
      <c r="A363" s="2" t="inlineStr">
        <is>
          <t>VitalEmb</t>
        </is>
      </c>
      <c r="B363" s="2" t="inlineStr">
        <is>
          <t>Декор для одежды</t>
        </is>
      </c>
      <c r="C363" s="2">
        <v>600423606</v>
      </c>
      <c r="D363" s="2" t="inlineStr">
        <is>
          <t>vsrfform0005_222773</t>
        </is>
      </c>
      <c r="E363" s="2" t="inlineStr">
        <is>
          <t>2047125713314</t>
        </is>
      </c>
      <c r="F363" s="2">
        <v>3</v>
      </c>
      <c r="G363" s="2">
        <v>0</v>
      </c>
      <c r="H363" s="2">
        <v>103</v>
      </c>
      <c r="I363" s="2" t="inlineStr">
        <is>
          <t>1100</t>
        </is>
      </c>
      <c r="J363" s="4"/>
      <c r="K363" s="2">
        <v>63</v>
      </c>
      <c r="L363" s="6"/>
      <c r="M363" s="2" t="str">
        <f>IF(J363="",ROUND(I363*(1-IF(ISBLANK(L363),K363,L363)/100),2),ROUND(J363*(1-IF(ISBLANK(L363),K363,L363)/100),2))</f>
      </c>
      <c r="N363" s="7" t="str">
        <f>IF(NOT(AND(J363="",L363="")),IF(OR(AND(L363&lt;&gt;"",NOT(ISNUMBER(L363))),IFERROR(MOD(L363,1),1)&gt;0,AND(ISNUMBER(L363),OR(L363&lt;0,L363&gt;95))),"Введите целое число от 0 до 95",IF(OR(AND(J363&lt;&gt;"",NOT(ISNUMBER(J363))),IFERROR(MOD(J363,1),1)&gt;0,AND(ISNUMBER(J363),OR(J363&lt;50,J363&gt;20000000))),"Введите целое число от 50 до 20000000",IF(NOT(ABS(IFERROR(VALUE(LEFT(M363,FIND("-",M363)-1)),M363)*100-(2500+2000000000)/2)&lt;=ABS(2500-2000000000)/2),"Цена со скидкой должна быть от 25 до 20000000",IF(IFERROR(VALUE(LEFT(M363,FIND("-",M363)-1)),M363)*229&lt;40700,"Вы уменьшили цену в несколько раз, товар попадет в карантин цен",IF(AND(IFERROR(VALUE(I363),0)=0,ISNUMBER(J363),OR(J363&lt;226,ABS(IFERROR(VALUE(LEFT(M363,FIND("-",M363)-1)),M363))*100&lt;22600)),"Проверьте цену товара. Большинство товаров в выбранной категории стоят дороже 226",""))))),"")</f>
      </c>
    </row>
    <row r="364">
      <c r="A364" s="2" t="inlineStr">
        <is>
          <t>VitalEmb</t>
        </is>
      </c>
      <c r="B364" s="2" t="inlineStr">
        <is>
          <t>Декор для одежды</t>
        </is>
      </c>
      <c r="C364" s="2">
        <v>611962877</v>
      </c>
      <c r="D364" s="2" t="inlineStr">
        <is>
          <t>pzngol0011_222746</t>
        </is>
      </c>
      <c r="E364" s="2" t="inlineStr">
        <is>
          <t>2047238954017</t>
        </is>
      </c>
      <c r="F364" s="2">
        <v>4</v>
      </c>
      <c r="G364" s="2">
        <v>0</v>
      </c>
      <c r="H364" s="2">
        <v>80</v>
      </c>
      <c r="I364" s="2" t="inlineStr">
        <is>
          <t>1100</t>
        </is>
      </c>
      <c r="J364" s="4"/>
      <c r="K364" s="2">
        <v>63</v>
      </c>
      <c r="L364" s="6"/>
      <c r="M364" s="2" t="str">
        <f>IF(J364="",ROUND(I364*(1-IF(ISBLANK(L364),K364,L364)/100),2),ROUND(J364*(1-IF(ISBLANK(L364),K364,L364)/100),2))</f>
      </c>
      <c r="N364" s="7" t="str">
        <f>IF(NOT(AND(J364="",L364="")),IF(OR(AND(L364&lt;&gt;"",NOT(ISNUMBER(L364))),IFERROR(MOD(L364,1),1)&gt;0,AND(ISNUMBER(L364),OR(L364&lt;0,L364&gt;95))),"Введите целое число от 0 до 95",IF(OR(AND(J364&lt;&gt;"",NOT(ISNUMBER(J364))),IFERROR(MOD(J364,1),1)&gt;0,AND(ISNUMBER(J364),OR(J364&lt;50,J364&gt;20000000))),"Введите целое число от 50 до 20000000",IF(NOT(ABS(IFERROR(VALUE(LEFT(M364,FIND("-",M364)-1)),M364)*100-(2500+2000000000)/2)&lt;=ABS(2500-2000000000)/2),"Цена со скидкой должна быть от 25 до 20000000",IF(IFERROR(VALUE(LEFT(M364,FIND("-",M364)-1)),M364)*229&lt;40700,"Вы уменьшили цену в несколько раз, товар попадет в карантин цен",IF(AND(IFERROR(VALUE(I364),0)=0,ISNUMBER(J364),OR(J364&lt;226,ABS(IFERROR(VALUE(LEFT(M364,FIND("-",M364)-1)),M364))*100&lt;22600)),"Проверьте цену товара. Большинство товаров в выбранной категории стоят дороже 226",""))))),"")</f>
      </c>
    </row>
    <row r="365">
      <c r="A365" s="2" t="inlineStr">
        <is>
          <t>VitalEmb</t>
        </is>
      </c>
      <c r="B365" s="2" t="inlineStr">
        <is>
          <t>Декор для одежды</t>
        </is>
      </c>
      <c r="C365" s="2">
        <v>600468791</v>
      </c>
      <c r="D365" s="2" t="inlineStr">
        <is>
          <t>vsrfform0009_222335</t>
        </is>
      </c>
      <c r="E365" s="2" t="inlineStr">
        <is>
          <t>2047126567565</t>
        </is>
      </c>
      <c r="F365" s="2">
        <v>0</v>
      </c>
      <c r="G365" s="2">
        <v>0</v>
      </c>
      <c r="H365" s="2">
        <v>13</v>
      </c>
      <c r="I365" s="2" t="inlineStr">
        <is>
          <t>1100</t>
        </is>
      </c>
      <c r="J365" s="4"/>
      <c r="K365" s="2">
        <v>63</v>
      </c>
      <c r="L365" s="6"/>
      <c r="M365" s="2" t="str">
        <f>IF(J365="",ROUND(I365*(1-IF(ISBLANK(L365),K365,L365)/100),2),ROUND(J365*(1-IF(ISBLANK(L365),K365,L365)/100),2))</f>
      </c>
      <c r="N365" s="7" t="str">
        <f>IF(NOT(AND(J365="",L365="")),IF(OR(AND(L365&lt;&gt;"",NOT(ISNUMBER(L365))),IFERROR(MOD(L365,1),1)&gt;0,AND(ISNUMBER(L365),OR(L365&lt;0,L365&gt;95))),"Введите целое число от 0 до 95",IF(OR(AND(J365&lt;&gt;"",NOT(ISNUMBER(J365))),IFERROR(MOD(J365,1),1)&gt;0,AND(ISNUMBER(J365),OR(J365&lt;50,J365&gt;20000000))),"Введите целое число от 50 до 20000000",IF(NOT(ABS(IFERROR(VALUE(LEFT(M365,FIND("-",M365)-1)),M365)*100-(2500+2000000000)/2)&lt;=ABS(2500-2000000000)/2),"Цена со скидкой должна быть от 25 до 20000000",IF(IFERROR(VALUE(LEFT(M365,FIND("-",M365)-1)),M365)*229&lt;40700,"Вы уменьшили цену в несколько раз, товар попадет в карантин цен",IF(AND(IFERROR(VALUE(I365),0)=0,ISNUMBER(J365),OR(J365&lt;226,ABS(IFERROR(VALUE(LEFT(M365,FIND("-",M365)-1)),M365))*100&lt;22600)),"Проверьте цену товара. Большинство товаров в выбранной категории стоят дороже 226",""))))),"")</f>
      </c>
    </row>
    <row r="366">
      <c r="A366" s="2" t="inlineStr">
        <is>
          <t>VitalEmb</t>
        </is>
      </c>
      <c r="B366" s="2" t="inlineStr">
        <is>
          <t>Декор для одежды</t>
        </is>
      </c>
      <c r="C366" s="2">
        <v>682514842</v>
      </c>
      <c r="D366" s="2" t="inlineStr">
        <is>
          <t>mvdback0004</t>
        </is>
      </c>
      <c r="E366" s="2" t="inlineStr">
        <is>
          <t>2047699910584</t>
        </is>
      </c>
      <c r="F366" s="2">
        <v>10</v>
      </c>
      <c r="G366" s="2">
        <v>0</v>
      </c>
      <c r="H366" s="2" t="inlineStr">
        <is>
          <t/>
        </is>
      </c>
      <c r="I366" s="2" t="inlineStr">
        <is>
          <t>1500</t>
        </is>
      </c>
      <c r="J366" s="4"/>
      <c r="K366" s="2">
        <v>55</v>
      </c>
      <c r="L366" s="6"/>
      <c r="M366" s="2" t="str">
        <f>IF(J366="",ROUND(I366*(1-IF(ISBLANK(L366),K366,L366)/100),2),ROUND(J366*(1-IF(ISBLANK(L366),K366,L366)/100),2))</f>
      </c>
      <c r="N366" s="7" t="str">
        <f>IF(NOT(AND(J366="",L366="")),IF(OR(AND(L366&lt;&gt;"",NOT(ISNUMBER(L366))),IFERROR(MOD(L366,1),1)&gt;0,AND(ISNUMBER(L366),OR(L366&lt;0,L366&gt;95))),"Введите целое число от 0 до 95",IF(OR(AND(J366&lt;&gt;"",NOT(ISNUMBER(J366))),IFERROR(MOD(J366,1),1)&gt;0,AND(ISNUMBER(J366),OR(J366&lt;50,J366&gt;20000000))),"Введите целое число от 50 до 20000000",IF(NOT(ABS(IFERROR(VALUE(LEFT(M366,FIND("-",M366)-1)),M366)*100-(2500+2000000000)/2)&lt;=ABS(2500-2000000000)/2),"Цена со скидкой должна быть от 25 до 20000000",IF(IFERROR(VALUE(LEFT(M366,FIND("-",M366)-1)),M366)*229&lt;67499,"Вы уменьшили цену в несколько раз, товар попадет в карантин цен",IF(AND(IFERROR(VALUE(I366),0)=0,ISNUMBER(J366),OR(J366&lt;226,ABS(IFERROR(VALUE(LEFT(M366,FIND("-",M366)-1)),M366))*100&lt;22600)),"Проверьте цену товара. Большинство товаров в выбранной категории стоят дороже 226",""))))),"")</f>
      </c>
    </row>
    <row r="367">
      <c r="A367" s="2" t="inlineStr">
        <is>
          <t>VitalEmb</t>
        </is>
      </c>
      <c r="B367" s="2" t="inlineStr">
        <is>
          <t>Декор для одежды</t>
        </is>
      </c>
      <c r="C367" s="2">
        <v>585982818</v>
      </c>
      <c r="D367" s="2" t="inlineStr">
        <is>
          <t>nevnkit50001_kitL0002_222657</t>
        </is>
      </c>
      <c r="E367" s="2" t="inlineStr">
        <is>
          <t>2046981216397</t>
        </is>
      </c>
      <c r="F367" s="2" t="inlineStr">
        <is>
          <t/>
        </is>
      </c>
      <c r="G367" s="2" t="inlineStr">
        <is>
          <t/>
        </is>
      </c>
      <c r="H367" s="2" t="inlineStr">
        <is>
          <t/>
        </is>
      </c>
      <c r="I367" s="2" t="inlineStr">
        <is>
          <t>3000</t>
        </is>
      </c>
      <c r="J367" s="4"/>
      <c r="K367" s="2">
        <v>55</v>
      </c>
      <c r="L367" s="6"/>
      <c r="M367" s="2" t="str">
        <f>IF(J367="",ROUND(I367*(1-IF(ISBLANK(L367),K367,L367)/100),2),ROUND(J367*(1-IF(ISBLANK(L367),K367,L367)/100),2))</f>
      </c>
      <c r="N367" s="7" t="str">
        <f>IF(NOT(AND(J367="",L367="")),IF(OR(AND(L367&lt;&gt;"",NOT(ISNUMBER(L367))),IFERROR(MOD(L367,1),1)&gt;0,AND(ISNUMBER(L367),OR(L367&lt;0,L367&gt;95))),"Введите целое число от 0 до 95",IF(OR(AND(J367&lt;&gt;"",NOT(ISNUMBER(J367))),IFERROR(MOD(J367,1),1)&gt;0,AND(ISNUMBER(J367),OR(J367&lt;50,J367&gt;20000000))),"Введите целое число от 50 до 20000000",IF(NOT(ABS(IFERROR(VALUE(LEFT(M367,FIND("-",M367)-1)),M367)*100-(2500+2000000000)/2)&lt;=ABS(2500-2000000000)/2),"Цена со скидкой должна быть от 25 до 20000000",IF(IFERROR(VALUE(LEFT(M367,FIND("-",M367)-1)),M367)*229&lt;134999,"Вы уменьшили цену в несколько раз, товар попадет в карантин цен",IF(AND(IFERROR(VALUE(I367),0)=0,ISNUMBER(J367),OR(J367&lt;226,ABS(IFERROR(VALUE(LEFT(M367,FIND("-",M367)-1)),M367))*100&lt;22600)),"Проверьте цену товара. Большинство товаров в выбранной категории стоят дороже 226",""))))),"")</f>
      </c>
    </row>
    <row r="368">
      <c r="A368" s="2" t="inlineStr">
        <is>
          <t>VitalEmb</t>
        </is>
      </c>
      <c r="B368" s="2" t="inlineStr">
        <is>
          <t>Декор для одежды</t>
        </is>
      </c>
      <c r="C368" s="2">
        <v>711850889</v>
      </c>
      <c r="D368" s="2" t="inlineStr">
        <is>
          <t>razpict0046</t>
        </is>
      </c>
      <c r="E368" s="2" t="inlineStr">
        <is>
          <t>2047945269480</t>
        </is>
      </c>
      <c r="F368" s="2">
        <v>7</v>
      </c>
      <c r="G368" s="2">
        <v>0</v>
      </c>
      <c r="H368" s="2">
        <v>999</v>
      </c>
      <c r="I368" s="2" t="inlineStr">
        <is>
          <t>1100</t>
        </is>
      </c>
      <c r="J368" s="4"/>
      <c r="K368" s="2">
        <v>61</v>
      </c>
      <c r="L368" s="6"/>
      <c r="M368" s="2" t="str">
        <f>IF(J368="",ROUND(I368*(1-IF(ISBLANK(L368),K368,L368)/100),2),ROUND(J368*(1-IF(ISBLANK(L368),K368,L368)/100),2))</f>
      </c>
      <c r="N368" s="7" t="str">
        <f>IF(NOT(AND(J368="",L368="")),IF(OR(AND(L368&lt;&gt;"",NOT(ISNUMBER(L368))),IFERROR(MOD(L368,1),1)&gt;0,AND(ISNUMBER(L368),OR(L368&lt;0,L368&gt;95))),"Введите целое число от 0 до 95",IF(OR(AND(J368&lt;&gt;"",NOT(ISNUMBER(J368))),IFERROR(MOD(J368,1),1)&gt;0,AND(ISNUMBER(J368),OR(J368&lt;50,J368&gt;20000000))),"Введите целое число от 50 до 20000000",IF(NOT(ABS(IFERROR(VALUE(LEFT(M368,FIND("-",M368)-1)),M368)*100-(2500+2000000000)/2)&lt;=ABS(2500-2000000000)/2),"Цена со скидкой должна быть от 25 до 20000000",IF(IFERROR(VALUE(LEFT(M368,FIND("-",M368)-1)),M368)*229&lt;42900,"Вы уменьшили цену в несколько раз, товар попадет в карантин цен",IF(AND(IFERROR(VALUE(I368),0)=0,ISNUMBER(J368),OR(J368&lt;226,ABS(IFERROR(VALUE(LEFT(M368,FIND("-",M368)-1)),M368))*100&lt;22600)),"Проверьте цену товара. Большинство товаров в выбранной категории стоят дороже 226",""))))),"")</f>
      </c>
    </row>
    <row r="369">
      <c r="A369" s="2" t="inlineStr">
        <is>
          <t>VitalEmb</t>
        </is>
      </c>
      <c r="B369" s="2" t="inlineStr">
        <is>
          <t>Декор для одежды</t>
        </is>
      </c>
      <c r="C369" s="2">
        <v>722858302</v>
      </c>
      <c r="D369" s="2" t="inlineStr">
        <is>
          <t>razpict0052</t>
        </is>
      </c>
      <c r="E369" s="2" t="inlineStr">
        <is>
          <t>2048025629354</t>
        </is>
      </c>
      <c r="F369" s="2">
        <v>22</v>
      </c>
      <c r="G369" s="2">
        <v>0</v>
      </c>
      <c r="H369" s="2">
        <v>999</v>
      </c>
      <c r="I369" s="2" t="inlineStr">
        <is>
          <t>1100</t>
        </is>
      </c>
      <c r="J369" s="4"/>
      <c r="K369" s="2">
        <v>53</v>
      </c>
      <c r="L369" s="6"/>
      <c r="M369" s="2" t="str">
        <f>IF(J369="",ROUND(I369*(1-IF(ISBLANK(L369),K369,L369)/100),2),ROUND(J369*(1-IF(ISBLANK(L369),K369,L369)/100),2))</f>
      </c>
      <c r="N369" s="7" t="str">
        <f>IF(NOT(AND(J369="",L369="")),IF(OR(AND(L369&lt;&gt;"",NOT(ISNUMBER(L369))),IFERROR(MOD(L369,1),1)&gt;0,AND(ISNUMBER(L369),OR(L369&lt;0,L369&gt;95))),"Введите целое число от 0 до 95",IF(OR(AND(J369&lt;&gt;"",NOT(ISNUMBER(J369))),IFERROR(MOD(J369,1),1)&gt;0,AND(ISNUMBER(J369),OR(J369&lt;50,J369&gt;20000000))),"Введите целое число от 50 до 20000000",IF(NOT(ABS(IFERROR(VALUE(LEFT(M369,FIND("-",M369)-1)),M369)*100-(2500+2000000000)/2)&lt;=ABS(2500-2000000000)/2),"Цена со скидкой должна быть от 25 до 20000000",IF(IFERROR(VALUE(LEFT(M369,FIND("-",M369)-1)),M369)*229&lt;51700,"Вы уменьшили цену в несколько раз, товар попадет в карантин цен",IF(AND(IFERROR(VALUE(I369),0)=0,ISNUMBER(J369),OR(J369&lt;226,ABS(IFERROR(VALUE(LEFT(M369,FIND("-",M369)-1)),M369))*100&lt;22600)),"Проверьте цену товара. Большинство товаров в выбранной категории стоят дороже 226",""))))),"")</f>
      </c>
    </row>
    <row r="370">
      <c r="A370" s="2" t="inlineStr">
        <is>
          <t>VitalEmb</t>
        </is>
      </c>
      <c r="B370" s="2" t="inlineStr">
        <is>
          <t>Декор для одежды</t>
        </is>
      </c>
      <c r="C370" s="2">
        <v>682597832</v>
      </c>
      <c r="D370" s="2" t="inlineStr">
        <is>
          <t>mvdkit2nr0011</t>
        </is>
      </c>
      <c r="E370" s="2" t="inlineStr">
        <is>
          <t>2047700504993</t>
        </is>
      </c>
      <c r="F370" s="2" t="inlineStr">
        <is>
          <t/>
        </is>
      </c>
      <c r="G370" s="2" t="inlineStr">
        <is>
          <t/>
        </is>
      </c>
      <c r="H370" s="2" t="inlineStr">
        <is>
          <t/>
        </is>
      </c>
      <c r="I370" s="2" t="inlineStr">
        <is>
          <t>1100</t>
        </is>
      </c>
      <c r="J370" s="4"/>
      <c r="K370" s="2">
        <v>55</v>
      </c>
      <c r="L370" s="6"/>
      <c r="M370" s="2" t="str">
        <f>IF(J370="",ROUND(I370*(1-IF(ISBLANK(L370),K370,L370)/100),2),ROUND(J370*(1-IF(ISBLANK(L370),K370,L370)/100),2))</f>
      </c>
      <c r="N370" s="7" t="str">
        <f>IF(NOT(AND(J370="",L370="")),IF(OR(AND(L370&lt;&gt;"",NOT(ISNUMBER(L370))),IFERROR(MOD(L370,1),1)&gt;0,AND(ISNUMBER(L370),OR(L370&lt;0,L370&gt;95))),"Введите целое число от 0 до 95",IF(OR(AND(J370&lt;&gt;"",NOT(ISNUMBER(J370))),IFERROR(MOD(J370,1),1)&gt;0,AND(ISNUMBER(J370),OR(J370&lt;50,J370&gt;20000000))),"Введите целое число от 50 до 20000000",IF(NOT(ABS(IFERROR(VALUE(LEFT(M370,FIND("-",M370)-1)),M370)*100-(2500+2000000000)/2)&lt;=ABS(2500-2000000000)/2),"Цена со скидкой должна быть от 25 до 20000000",IF(IFERROR(VALUE(LEFT(M370,FIND("-",M370)-1)),M370)*229&lt;49499,"Вы уменьшили цену в несколько раз, товар попадет в карантин цен",IF(AND(IFERROR(VALUE(I370),0)=0,ISNUMBER(J370),OR(J370&lt;226,ABS(IFERROR(VALUE(LEFT(M370,FIND("-",M370)-1)),M370))*100&lt;22600)),"Проверьте цену товара. Большинство товаров в выбранной категории стоят дороже 226",""))))),"")</f>
      </c>
    </row>
    <row r="371">
      <c r="A371" s="2" t="inlineStr">
        <is>
          <t>VitalEmb</t>
        </is>
      </c>
      <c r="B371" s="2" t="inlineStr">
        <is>
          <t>Декор для одежды</t>
        </is>
      </c>
      <c r="C371" s="2">
        <v>682569462</v>
      </c>
      <c r="D371" s="2" t="inlineStr">
        <is>
          <t>mvdkit2nr0010</t>
        </is>
      </c>
      <c r="E371" s="2" t="inlineStr">
        <is>
          <t>2047700294597</t>
        </is>
      </c>
      <c r="F371" s="2" t="inlineStr">
        <is>
          <t/>
        </is>
      </c>
      <c r="G371" s="2" t="inlineStr">
        <is>
          <t/>
        </is>
      </c>
      <c r="H371" s="2" t="inlineStr">
        <is>
          <t/>
        </is>
      </c>
      <c r="I371" s="2" t="inlineStr">
        <is>
          <t>2000</t>
        </is>
      </c>
      <c r="J371" s="4"/>
      <c r="K371" s="2">
        <v>55</v>
      </c>
      <c r="L371" s="6"/>
      <c r="M371" s="2" t="str">
        <f>IF(J371="",ROUND(I371*(1-IF(ISBLANK(L371),K371,L371)/100),2),ROUND(J371*(1-IF(ISBLANK(L371),K371,L371)/100),2))</f>
      </c>
      <c r="N371" s="7" t="str">
        <f>IF(NOT(AND(J371="",L371="")),IF(OR(AND(L371&lt;&gt;"",NOT(ISNUMBER(L371))),IFERROR(MOD(L371,1),1)&gt;0,AND(ISNUMBER(L371),OR(L371&lt;0,L371&gt;95))),"Введите целое число от 0 до 95",IF(OR(AND(J371&lt;&gt;"",NOT(ISNUMBER(J371))),IFERROR(MOD(J371,1),1)&gt;0,AND(ISNUMBER(J371),OR(J371&lt;50,J371&gt;20000000))),"Введите целое число от 50 до 20000000",IF(NOT(ABS(IFERROR(VALUE(LEFT(M371,FIND("-",M371)-1)),M371)*100-(2500+2000000000)/2)&lt;=ABS(2500-2000000000)/2),"Цена со скидкой должна быть от 25 до 20000000",IF(IFERROR(VALUE(LEFT(M371,FIND("-",M371)-1)),M371)*229&lt;89999,"Вы уменьшили цену в несколько раз, товар попадет в карантин цен",IF(AND(IFERROR(VALUE(I371),0)=0,ISNUMBER(J371),OR(J371&lt;226,ABS(IFERROR(VALUE(LEFT(M371,FIND("-",M371)-1)),M371))*100&lt;22600)),"Проверьте цену товара. Большинство товаров в выбранной категории стоят дороже 226",""))))),"")</f>
      </c>
    </row>
    <row r="372">
      <c r="A372" s="2" t="inlineStr">
        <is>
          <t>VitalEmb</t>
        </is>
      </c>
      <c r="B372" s="2" t="inlineStr">
        <is>
          <t>Декор для одежды</t>
        </is>
      </c>
      <c r="C372" s="2">
        <v>682422212</v>
      </c>
      <c r="D372" s="2" t="inlineStr">
        <is>
          <t>mvdkit2nr0007</t>
        </is>
      </c>
      <c r="E372" s="2" t="inlineStr">
        <is>
          <t>2047699096998</t>
        </is>
      </c>
      <c r="F372" s="2">
        <v>21</v>
      </c>
      <c r="G372" s="2">
        <v>0</v>
      </c>
      <c r="H372" s="2">
        <v>999</v>
      </c>
      <c r="I372" s="2" t="inlineStr">
        <is>
          <t>2000</t>
        </is>
      </c>
      <c r="J372" s="4"/>
      <c r="K372" s="2">
        <v>57</v>
      </c>
      <c r="L372" s="6"/>
      <c r="M372" s="2" t="str">
        <f>IF(J372="",ROUND(I372*(1-IF(ISBLANK(L372),K372,L372)/100),2),ROUND(J372*(1-IF(ISBLANK(L372),K372,L372)/100),2))</f>
      </c>
      <c r="N372" s="7" t="str">
        <f>IF(NOT(AND(J372="",L372="")),IF(OR(AND(L372&lt;&gt;"",NOT(ISNUMBER(L372))),IFERROR(MOD(L372,1),1)&gt;0,AND(ISNUMBER(L372),OR(L372&lt;0,L372&gt;95))),"Введите целое число от 0 до 95",IF(OR(AND(J372&lt;&gt;"",NOT(ISNUMBER(J372))),IFERROR(MOD(J372,1),1)&gt;0,AND(ISNUMBER(J372),OR(J372&lt;50,J372&gt;20000000))),"Введите целое число от 50 до 20000000",IF(NOT(ABS(IFERROR(VALUE(LEFT(M372,FIND("-",M372)-1)),M372)*100-(2500+2000000000)/2)&lt;=ABS(2500-2000000000)/2),"Цена со скидкой должна быть от 25 до 20000000",IF(IFERROR(VALUE(LEFT(M372,FIND("-",M372)-1)),M372)*229&lt;86000,"Вы уменьшили цену в несколько раз, товар попадет в карантин цен",IF(AND(IFERROR(VALUE(I372),0)=0,ISNUMBER(J372),OR(J372&lt;226,ABS(IFERROR(VALUE(LEFT(M372,FIND("-",M372)-1)),M372))*100&lt;22600)),"Проверьте цену товара. Большинство товаров в выбранной категории стоят дороже 226",""))))),"")</f>
      </c>
    </row>
    <row r="373">
      <c r="A373" s="2" t="inlineStr">
        <is>
          <t>VitalEmb</t>
        </is>
      </c>
      <c r="B373" s="2" t="inlineStr">
        <is>
          <t>Декор для одежды</t>
        </is>
      </c>
      <c r="C373" s="2">
        <v>686550985</v>
      </c>
      <c r="D373" s="2" t="inlineStr">
        <is>
          <t>razpict0033</t>
        </is>
      </c>
      <c r="E373" s="2" t="inlineStr">
        <is>
          <t>2047729292383</t>
        </is>
      </c>
      <c r="F373" s="2">
        <v>19</v>
      </c>
      <c r="G373" s="2">
        <v>0</v>
      </c>
      <c r="H373" s="2">
        <v>999</v>
      </c>
      <c r="I373" s="2" t="inlineStr">
        <is>
          <t>1100</t>
        </is>
      </c>
      <c r="J373" s="4"/>
      <c r="K373" s="2">
        <v>58</v>
      </c>
      <c r="L373" s="6"/>
      <c r="M373" s="2" t="str">
        <f>IF(J373="",ROUND(I373*(1-IF(ISBLANK(L373),K373,L373)/100),2),ROUND(J373*(1-IF(ISBLANK(L373),K373,L373)/100),2))</f>
      </c>
      <c r="N373" s="7" t="str">
        <f>IF(NOT(AND(J373="",L373="")),IF(OR(AND(L373&lt;&gt;"",NOT(ISNUMBER(L373))),IFERROR(MOD(L373,1),1)&gt;0,AND(ISNUMBER(L373),OR(L373&lt;0,L373&gt;95))),"Введите целое число от 0 до 95",IF(OR(AND(J373&lt;&gt;"",NOT(ISNUMBER(J373))),IFERROR(MOD(J373,1),1)&gt;0,AND(ISNUMBER(J373),OR(J373&lt;50,J373&gt;20000000))),"Введите целое число от 50 до 20000000",IF(NOT(ABS(IFERROR(VALUE(LEFT(M373,FIND("-",M373)-1)),M373)*100-(2500+2000000000)/2)&lt;=ABS(2500-2000000000)/2),"Цена со скидкой должна быть от 25 до 20000000",IF(IFERROR(VALUE(LEFT(M373,FIND("-",M373)-1)),M373)*229&lt;46200,"Вы уменьшили цену в несколько раз, товар попадет в карантин цен",IF(AND(IFERROR(VALUE(I373),0)=0,ISNUMBER(J373),OR(J373&lt;226,ABS(IFERROR(VALUE(LEFT(M373,FIND("-",M373)-1)),M373))*100&lt;22600)),"Проверьте цену товара. Большинство товаров в выбранной категории стоят дороже 226",""))))),"")</f>
      </c>
    </row>
    <row r="374">
      <c r="A374" s="2" t="inlineStr">
        <is>
          <t>VitalEmb</t>
        </is>
      </c>
      <c r="B374" s="2" t="inlineStr">
        <is>
          <t>Декор для одежды</t>
        </is>
      </c>
      <c r="C374" s="2">
        <v>591233863</v>
      </c>
      <c r="D374" s="2" t="inlineStr">
        <is>
          <t>razpict0002_pict0007_222242</t>
        </is>
      </c>
      <c r="E374" s="2" t="inlineStr">
        <is>
          <t>2047031419584</t>
        </is>
      </c>
      <c r="F374" s="2">
        <v>15</v>
      </c>
      <c r="G374" s="2">
        <v>0</v>
      </c>
      <c r="H374" s="2">
        <v>999</v>
      </c>
      <c r="I374" s="2" t="inlineStr">
        <is>
          <t>1100</t>
        </is>
      </c>
      <c r="J374" s="4"/>
      <c r="K374" s="2">
        <v>63</v>
      </c>
      <c r="L374" s="6"/>
      <c r="M374" s="2" t="str">
        <f>IF(J374="",ROUND(I374*(1-IF(ISBLANK(L374),K374,L374)/100),2),ROUND(J374*(1-IF(ISBLANK(L374),K374,L374)/100),2))</f>
      </c>
      <c r="N374" s="7" t="str">
        <f>IF(NOT(AND(J374="",L374="")),IF(OR(AND(L374&lt;&gt;"",NOT(ISNUMBER(L374))),IFERROR(MOD(L374,1),1)&gt;0,AND(ISNUMBER(L374),OR(L374&lt;0,L374&gt;95))),"Введите целое число от 0 до 95",IF(OR(AND(J374&lt;&gt;"",NOT(ISNUMBER(J374))),IFERROR(MOD(J374,1),1)&gt;0,AND(ISNUMBER(J374),OR(J374&lt;50,J374&gt;20000000))),"Введите целое число от 50 до 20000000",IF(NOT(ABS(IFERROR(VALUE(LEFT(M374,FIND("-",M374)-1)),M374)*100-(2500+2000000000)/2)&lt;=ABS(2500-2000000000)/2),"Цена со скидкой должна быть от 25 до 20000000",IF(IFERROR(VALUE(LEFT(M374,FIND("-",M374)-1)),M374)*229&lt;40700,"Вы уменьшили цену в несколько раз, товар попадет в карантин цен",IF(AND(IFERROR(VALUE(I374),0)=0,ISNUMBER(J374),OR(J374&lt;226,ABS(IFERROR(VALUE(LEFT(M374,FIND("-",M374)-1)),M374))*100&lt;22600)),"Проверьте цену товара. Большинство товаров в выбранной категории стоят дороже 226",""))))),"")</f>
      </c>
    </row>
    <row r="375">
      <c r="A375" s="2" t="inlineStr">
        <is>
          <t>VitalEmb</t>
        </is>
      </c>
      <c r="B375" s="2" t="inlineStr">
        <is>
          <t>Декор для одежды</t>
        </is>
      </c>
      <c r="C375" s="2">
        <v>772690567</v>
      </c>
      <c r="D375" s="2" t="inlineStr">
        <is>
          <t>223006</t>
        </is>
      </c>
      <c r="E375" s="2" t="inlineStr">
        <is>
          <t>2048490794168</t>
        </is>
      </c>
      <c r="F375" s="2">
        <v>31</v>
      </c>
      <c r="G375" s="2">
        <v>0</v>
      </c>
      <c r="H375" s="2">
        <v>999</v>
      </c>
      <c r="I375" s="2" t="inlineStr">
        <is>
          <t>1100</t>
        </is>
      </c>
      <c r="J375" s="4"/>
      <c r="K375" s="2">
        <v>52</v>
      </c>
      <c r="L375" s="6"/>
      <c r="M375" s="2" t="str">
        <f>IF(J375="",ROUND(I375*(1-IF(ISBLANK(L375),K375,L375)/100),2),ROUND(J375*(1-IF(ISBLANK(L375),K375,L375)/100),2))</f>
      </c>
      <c r="N375" s="7" t="str">
        <f>IF(NOT(AND(J375="",L375="")),IF(OR(AND(L375&lt;&gt;"",NOT(ISNUMBER(L375))),IFERROR(MOD(L375,1),1)&gt;0,AND(ISNUMBER(L375),OR(L375&lt;0,L375&gt;95))),"Введите целое число от 0 до 95",IF(OR(AND(J375&lt;&gt;"",NOT(ISNUMBER(J375))),IFERROR(MOD(J375,1),1)&gt;0,AND(ISNUMBER(J375),OR(J375&lt;50,J375&gt;20000000))),"Введите целое число от 50 до 20000000",IF(NOT(ABS(IFERROR(VALUE(LEFT(M375,FIND("-",M375)-1)),M375)*100-(2500+2000000000)/2)&lt;=ABS(2500-2000000000)/2),"Цена со скидкой должна быть от 25 до 20000000",IF(IFERROR(VALUE(LEFT(M375,FIND("-",M375)-1)),M375)*229&lt;52800,"Вы уменьшили цену в несколько раз, товар попадет в карантин цен",IF(AND(IFERROR(VALUE(I375),0)=0,ISNUMBER(J375),OR(J375&lt;226,ABS(IFERROR(VALUE(LEFT(M375,FIND("-",M375)-1)),M375))*100&lt;22600)),"Проверьте цену товара. Большинство товаров в выбранной категории стоят дороже 226",""))))),"")</f>
      </c>
    </row>
    <row r="376">
      <c r="A376" s="2" t="inlineStr">
        <is>
          <t>VitalEmb</t>
        </is>
      </c>
      <c r="B376" s="2" t="inlineStr">
        <is>
          <t>Декор для одежды</t>
        </is>
      </c>
      <c r="C376" s="2">
        <v>603649826</v>
      </c>
      <c r="D376" s="2" t="inlineStr">
        <is>
          <t>mvdkit2nr0004</t>
        </is>
      </c>
      <c r="E376" s="2" t="inlineStr">
        <is>
          <t>2047147176746</t>
        </is>
      </c>
      <c r="F376" s="2">
        <v>17</v>
      </c>
      <c r="G376" s="2">
        <v>0</v>
      </c>
      <c r="H376" s="2">
        <v>999</v>
      </c>
      <c r="I376" s="2" t="inlineStr">
        <is>
          <t>2000</t>
        </is>
      </c>
      <c r="J376" s="4"/>
      <c r="K376" s="2">
        <v>63</v>
      </c>
      <c r="L376" s="6"/>
      <c r="M376" s="2" t="str">
        <f>IF(J376="",ROUND(I376*(1-IF(ISBLANK(L376),K376,L376)/100),2),ROUND(J376*(1-IF(ISBLANK(L376),K376,L376)/100),2))</f>
      </c>
      <c r="N376" s="7" t="str">
        <f>IF(NOT(AND(J376="",L376="")),IF(OR(AND(L376&lt;&gt;"",NOT(ISNUMBER(L376))),IFERROR(MOD(L376,1),1)&gt;0,AND(ISNUMBER(L376),OR(L376&lt;0,L376&gt;95))),"Введите целое число от 0 до 95",IF(OR(AND(J376&lt;&gt;"",NOT(ISNUMBER(J376))),IFERROR(MOD(J376,1),1)&gt;0,AND(ISNUMBER(J376),OR(J376&lt;50,J376&gt;20000000))),"Введите целое число от 50 до 20000000",IF(NOT(ABS(IFERROR(VALUE(LEFT(M376,FIND("-",M376)-1)),M376)*100-(2500+2000000000)/2)&lt;=ABS(2500-2000000000)/2),"Цена со скидкой должна быть от 25 до 20000000",IF(IFERROR(VALUE(LEFT(M376,FIND("-",M376)-1)),M376)*229&lt;74000,"Вы уменьшили цену в несколько раз, товар попадет в карантин цен",IF(AND(IFERROR(VALUE(I376),0)=0,ISNUMBER(J376),OR(J376&lt;226,ABS(IFERROR(VALUE(LEFT(M376,FIND("-",M376)-1)),M376))*100&lt;22600)),"Проверьте цену товара. Большинство товаров в выбранной категории стоят дороже 226",""))))),"")</f>
      </c>
    </row>
    <row r="377">
      <c r="A377" s="2" t="inlineStr">
        <is>
          <t>VitalEmb</t>
        </is>
      </c>
      <c r="B377" s="2" t="inlineStr">
        <is>
          <t>Декор для одежды</t>
        </is>
      </c>
      <c r="C377" s="2">
        <v>591206142</v>
      </c>
      <c r="D377" s="2" t="inlineStr">
        <is>
          <t>mvdback0001_back0003_222396</t>
        </is>
      </c>
      <c r="E377" s="2" t="inlineStr">
        <is>
          <t>2047030942649</t>
        </is>
      </c>
      <c r="F377" s="2">
        <v>18</v>
      </c>
      <c r="G377" s="2">
        <v>0</v>
      </c>
      <c r="H377" s="2">
        <v>999</v>
      </c>
      <c r="I377" s="2" t="inlineStr">
        <is>
          <t>1500</t>
        </is>
      </c>
      <c r="J377" s="4"/>
      <c r="K377" s="2">
        <v>62</v>
      </c>
      <c r="L377" s="6"/>
      <c r="M377" s="2" t="str">
        <f>IF(J377="",ROUND(I377*(1-IF(ISBLANK(L377),K377,L377)/100),2),ROUND(J377*(1-IF(ISBLANK(L377),K377,L377)/100),2))</f>
      </c>
      <c r="N377" s="7" t="str">
        <f>IF(NOT(AND(J377="",L377="")),IF(OR(AND(L377&lt;&gt;"",NOT(ISNUMBER(L377))),IFERROR(MOD(L377,1),1)&gt;0,AND(ISNUMBER(L377),OR(L377&lt;0,L377&gt;95))),"Введите целое число от 0 до 95",IF(OR(AND(J377&lt;&gt;"",NOT(ISNUMBER(J377))),IFERROR(MOD(J377,1),1)&gt;0,AND(ISNUMBER(J377),OR(J377&lt;50,J377&gt;20000000))),"Введите целое число от 50 до 20000000",IF(NOT(ABS(IFERROR(VALUE(LEFT(M377,FIND("-",M377)-1)),M377)*100-(2500+2000000000)/2)&lt;=ABS(2500-2000000000)/2),"Цена со скидкой должна быть от 25 до 20000000",IF(IFERROR(VALUE(LEFT(M377,FIND("-",M377)-1)),M377)*229&lt;57000,"Вы уменьшили цену в несколько раз, товар попадет в карантин цен",IF(AND(IFERROR(VALUE(I377),0)=0,ISNUMBER(J377),OR(J377&lt;226,ABS(IFERROR(VALUE(LEFT(M377,FIND("-",M377)-1)),M377))*100&lt;22600)),"Проверьте цену товара. Большинство товаров в выбранной категории стоят дороже 226",""))))),"")</f>
      </c>
    </row>
    <row r="378">
      <c r="A378" s="2" t="inlineStr">
        <is>
          <t>VitalEmb</t>
        </is>
      </c>
      <c r="B378" s="2" t="inlineStr">
        <is>
          <t>Декор для одежды</t>
        </is>
      </c>
      <c r="C378" s="2">
        <v>603921732</v>
      </c>
      <c r="D378" s="2" t="inlineStr">
        <is>
          <t>mvdkit2nr0003</t>
        </is>
      </c>
      <c r="E378" s="2" t="inlineStr">
        <is>
          <t>2047150378991</t>
        </is>
      </c>
      <c r="F378" s="2">
        <v>19</v>
      </c>
      <c r="G378" s="2">
        <v>0</v>
      </c>
      <c r="H378" s="2">
        <v>562</v>
      </c>
      <c r="I378" s="2" t="inlineStr">
        <is>
          <t>2000</t>
        </is>
      </c>
      <c r="J378" s="4"/>
      <c r="K378" s="2">
        <v>63</v>
      </c>
      <c r="L378" s="6"/>
      <c r="M378" s="2" t="str">
        <f>IF(J378="",ROUND(I378*(1-IF(ISBLANK(L378),K378,L378)/100),2),ROUND(J378*(1-IF(ISBLANK(L378),K378,L378)/100),2))</f>
      </c>
      <c r="N378" s="7" t="str">
        <f>IF(NOT(AND(J378="",L378="")),IF(OR(AND(L378&lt;&gt;"",NOT(ISNUMBER(L378))),IFERROR(MOD(L378,1),1)&gt;0,AND(ISNUMBER(L378),OR(L378&lt;0,L378&gt;95))),"Введите целое число от 0 до 95",IF(OR(AND(J378&lt;&gt;"",NOT(ISNUMBER(J378))),IFERROR(MOD(J378,1),1)&gt;0,AND(ISNUMBER(J378),OR(J378&lt;50,J378&gt;20000000))),"Введите целое число от 50 до 20000000",IF(NOT(ABS(IFERROR(VALUE(LEFT(M378,FIND("-",M378)-1)),M378)*100-(2500+2000000000)/2)&lt;=ABS(2500-2000000000)/2),"Цена со скидкой должна быть от 25 до 20000000",IF(IFERROR(VALUE(LEFT(M378,FIND("-",M378)-1)),M378)*229&lt;74000,"Вы уменьшили цену в несколько раз, товар попадет в карантин цен",IF(AND(IFERROR(VALUE(I378),0)=0,ISNUMBER(J378),OR(J378&lt;226,ABS(IFERROR(VALUE(LEFT(M378,FIND("-",M378)-1)),M378))*100&lt;22600)),"Проверьте цену товара. Большинство товаров в выбранной категории стоят дороже 226",""))))),"")</f>
      </c>
    </row>
    <row r="379">
      <c r="A379" s="2" t="inlineStr">
        <is>
          <t>VitalEmb</t>
        </is>
      </c>
      <c r="B379" s="2" t="inlineStr">
        <is>
          <t>Декор для одежды</t>
        </is>
      </c>
      <c r="C379" s="2">
        <v>605054486</v>
      </c>
      <c r="D379" s="2" t="inlineStr">
        <is>
          <t>svopict0026_pict0150</t>
        </is>
      </c>
      <c r="E379" s="2" t="inlineStr">
        <is>
          <t>2047170009080</t>
        </is>
      </c>
      <c r="F379" s="2">
        <v>15</v>
      </c>
      <c r="G379" s="2">
        <v>0</v>
      </c>
      <c r="H379" s="2">
        <v>999</v>
      </c>
      <c r="I379" s="2" t="inlineStr">
        <is>
          <t>1100</t>
        </is>
      </c>
      <c r="J379" s="4"/>
      <c r="K379" s="2">
        <v>63</v>
      </c>
      <c r="L379" s="6"/>
      <c r="M379" s="2" t="str">
        <f>IF(J379="",ROUND(I379*(1-IF(ISBLANK(L379),K379,L379)/100),2),ROUND(J379*(1-IF(ISBLANK(L379),K379,L379)/100),2))</f>
      </c>
      <c r="N379" s="7" t="str">
        <f>IF(NOT(AND(J379="",L379="")),IF(OR(AND(L379&lt;&gt;"",NOT(ISNUMBER(L379))),IFERROR(MOD(L379,1),1)&gt;0,AND(ISNUMBER(L379),OR(L379&lt;0,L379&gt;95))),"Введите целое число от 0 до 95",IF(OR(AND(J379&lt;&gt;"",NOT(ISNUMBER(J379))),IFERROR(MOD(J379,1),1)&gt;0,AND(ISNUMBER(J379),OR(J379&lt;50,J379&gt;20000000))),"Введите целое число от 50 до 20000000",IF(NOT(ABS(IFERROR(VALUE(LEFT(M379,FIND("-",M379)-1)),M379)*100-(2500+2000000000)/2)&lt;=ABS(2500-2000000000)/2),"Цена со скидкой должна быть от 25 до 20000000",IF(IFERROR(VALUE(LEFT(M379,FIND("-",M379)-1)),M379)*229&lt;40700,"Вы уменьшили цену в несколько раз, товар попадет в карантин цен",IF(AND(IFERROR(VALUE(I379),0)=0,ISNUMBER(J379),OR(J379&lt;226,ABS(IFERROR(VALUE(LEFT(M379,FIND("-",M379)-1)),M379))*100&lt;22600)),"Проверьте цену товара. Большинство товаров в выбранной категории стоят дороже 226",""))))),"")</f>
      </c>
    </row>
    <row r="380">
      <c r="A380" s="2" t="inlineStr">
        <is>
          <t>VitalEmb</t>
        </is>
      </c>
      <c r="B380" s="2" t="inlineStr">
        <is>
          <t>Декор для одежды</t>
        </is>
      </c>
      <c r="C380" s="2">
        <v>711844073</v>
      </c>
      <c r="D380" s="2" t="inlineStr">
        <is>
          <t>svopict0032</t>
        </is>
      </c>
      <c r="E380" s="2" t="inlineStr">
        <is>
          <t>2047945180099</t>
        </is>
      </c>
      <c r="F380" s="2">
        <v>14</v>
      </c>
      <c r="G380" s="2">
        <v>0</v>
      </c>
      <c r="H380" s="2">
        <v>999</v>
      </c>
      <c r="I380" s="2" t="inlineStr">
        <is>
          <t>1100</t>
        </is>
      </c>
      <c r="J380" s="4"/>
      <c r="K380" s="2">
        <v>57</v>
      </c>
      <c r="L380" s="6"/>
      <c r="M380" s="2" t="str">
        <f>IF(J380="",ROUND(I380*(1-IF(ISBLANK(L380),K380,L380)/100),2),ROUND(J380*(1-IF(ISBLANK(L380),K380,L380)/100),2))</f>
      </c>
      <c r="N380" s="7" t="str">
        <f>IF(NOT(AND(J380="",L380="")),IF(OR(AND(L380&lt;&gt;"",NOT(ISNUMBER(L380))),IFERROR(MOD(L380,1),1)&gt;0,AND(ISNUMBER(L380),OR(L380&lt;0,L380&gt;95))),"Введите целое число от 0 до 95",IF(OR(AND(J380&lt;&gt;"",NOT(ISNUMBER(J380))),IFERROR(MOD(J380,1),1)&gt;0,AND(ISNUMBER(J380),OR(J380&lt;50,J380&gt;20000000))),"Введите целое число от 50 до 20000000",IF(NOT(ABS(IFERROR(VALUE(LEFT(M380,FIND("-",M380)-1)),M380)*100-(2500+2000000000)/2)&lt;=ABS(2500-2000000000)/2),"Цена со скидкой должна быть от 25 до 20000000",IF(IFERROR(VALUE(LEFT(M380,FIND("-",M380)-1)),M380)*229&lt;47300,"Вы уменьшили цену в несколько раз, товар попадет в карантин цен",IF(AND(IFERROR(VALUE(I380),0)=0,ISNUMBER(J380),OR(J380&lt;226,ABS(IFERROR(VALUE(LEFT(M380,FIND("-",M380)-1)),M380))*100&lt;22600)),"Проверьте цену товара. Большинство товаров в выбранной категории стоят дороже 226",""))))),"")</f>
      </c>
    </row>
    <row r="381">
      <c r="A381" s="2" t="inlineStr">
        <is>
          <t>VitalEmb</t>
        </is>
      </c>
      <c r="B381" s="2" t="inlineStr">
        <is>
          <t>Декор для одежды</t>
        </is>
      </c>
      <c r="C381" s="2">
        <v>605062711</v>
      </c>
      <c r="D381" s="2" t="inlineStr">
        <is>
          <t>svopict0027_pict0148</t>
        </is>
      </c>
      <c r="E381" s="2" t="inlineStr">
        <is>
          <t>2047170173491</t>
        </is>
      </c>
      <c r="F381" s="2">
        <v>14</v>
      </c>
      <c r="G381" s="2">
        <v>0</v>
      </c>
      <c r="H381" s="2">
        <v>152</v>
      </c>
      <c r="I381" s="2" t="inlineStr">
        <is>
          <t>1100</t>
        </is>
      </c>
      <c r="J381" s="4"/>
      <c r="K381" s="2">
        <v>63</v>
      </c>
      <c r="L381" s="6"/>
      <c r="M381" s="2" t="str">
        <f>IF(J381="",ROUND(I381*(1-IF(ISBLANK(L381),K381,L381)/100),2),ROUND(J381*(1-IF(ISBLANK(L381),K381,L381)/100),2))</f>
      </c>
      <c r="N381" s="7" t="str">
        <f>IF(NOT(AND(J381="",L381="")),IF(OR(AND(L381&lt;&gt;"",NOT(ISNUMBER(L381))),IFERROR(MOD(L381,1),1)&gt;0,AND(ISNUMBER(L381),OR(L381&lt;0,L381&gt;95))),"Введите целое число от 0 до 95",IF(OR(AND(J381&lt;&gt;"",NOT(ISNUMBER(J381))),IFERROR(MOD(J381,1),1)&gt;0,AND(ISNUMBER(J381),OR(J381&lt;50,J381&gt;20000000))),"Введите целое число от 50 до 20000000",IF(NOT(ABS(IFERROR(VALUE(LEFT(M381,FIND("-",M381)-1)),M381)*100-(2500+2000000000)/2)&lt;=ABS(2500-2000000000)/2),"Цена со скидкой должна быть от 25 до 20000000",IF(IFERROR(VALUE(LEFT(M381,FIND("-",M381)-1)),M381)*229&lt;40700,"Вы уменьшили цену в несколько раз, товар попадет в карантин цен",IF(AND(IFERROR(VALUE(I381),0)=0,ISNUMBER(J381),OR(J381&lt;226,ABS(IFERROR(VALUE(LEFT(M381,FIND("-",M381)-1)),M381))*100&lt;22600)),"Проверьте цену товара. Большинство товаров в выбранной категории стоят дороже 226",""))))),"")</f>
      </c>
    </row>
    <row r="382">
      <c r="A382" s="2" t="inlineStr">
        <is>
          <t>VitalEmb</t>
        </is>
      </c>
      <c r="B382" s="2" t="inlineStr">
        <is>
          <t>Декор для одежды</t>
        </is>
      </c>
      <c r="C382" s="2">
        <v>593367572</v>
      </c>
      <c r="D382" s="2" t="inlineStr">
        <is>
          <t>svopict0002_pict0006_222378</t>
        </is>
      </c>
      <c r="E382" s="2" t="inlineStr">
        <is>
          <t>2047050015897</t>
        </is>
      </c>
      <c r="F382" s="2">
        <v>15</v>
      </c>
      <c r="G382" s="2">
        <v>0</v>
      </c>
      <c r="H382" s="2">
        <v>999</v>
      </c>
      <c r="I382" s="2" t="inlineStr">
        <is>
          <t>1100</t>
        </is>
      </c>
      <c r="J382" s="4"/>
      <c r="K382" s="2">
        <v>66</v>
      </c>
      <c r="L382" s="6"/>
      <c r="M382" s="2" t="str">
        <f>IF(J382="",ROUND(I382*(1-IF(ISBLANK(L382),K382,L382)/100),2),ROUND(J382*(1-IF(ISBLANK(L382),K382,L382)/100),2))</f>
      </c>
      <c r="N382" s="7" t="str">
        <f>IF(NOT(AND(J382="",L382="")),IF(OR(AND(L382&lt;&gt;"",NOT(ISNUMBER(L382))),IFERROR(MOD(L382,1),1)&gt;0,AND(ISNUMBER(L382),OR(L382&lt;0,L382&gt;95))),"Введите целое число от 0 до 95",IF(OR(AND(J382&lt;&gt;"",NOT(ISNUMBER(J382))),IFERROR(MOD(J382,1),1)&gt;0,AND(ISNUMBER(J382),OR(J382&lt;50,J382&gt;20000000))),"Введите целое число от 50 до 20000000",IF(NOT(ABS(IFERROR(VALUE(LEFT(M382,FIND("-",M382)-1)),M382)*100-(2500+2000000000)/2)&lt;=ABS(2500-2000000000)/2),"Цена со скидкой должна быть от 25 до 20000000",IF(IFERROR(VALUE(LEFT(M382,FIND("-",M382)-1)),M382)*229&lt;37399,"Вы уменьшили цену в несколько раз, товар попадет в карантин цен",IF(AND(IFERROR(VALUE(I382),0)=0,ISNUMBER(J382),OR(J382&lt;226,ABS(IFERROR(VALUE(LEFT(M382,FIND("-",M382)-1)),M382))*100&lt;22600)),"Проверьте цену товара. Большинство товаров в выбранной категории стоят дороже 226",""))))),"")</f>
      </c>
    </row>
    <row r="383">
      <c r="A383" s="2" t="inlineStr">
        <is>
          <t>VitalEmb</t>
        </is>
      </c>
      <c r="B383" s="2" t="inlineStr">
        <is>
          <t>Декор для одежды</t>
        </is>
      </c>
      <c r="C383" s="2">
        <v>593375706</v>
      </c>
      <c r="D383" s="2" t="inlineStr">
        <is>
          <t>svopict0011_pict0040_222431</t>
        </is>
      </c>
      <c r="E383" s="2" t="inlineStr">
        <is>
          <t>2047050095899</t>
        </is>
      </c>
      <c r="F383" s="2">
        <v>15</v>
      </c>
      <c r="G383" s="2">
        <v>0</v>
      </c>
      <c r="H383" s="2">
        <v>125</v>
      </c>
      <c r="I383" s="2" t="inlineStr">
        <is>
          <t>1100</t>
        </is>
      </c>
      <c r="J383" s="4"/>
      <c r="K383" s="2">
        <v>63</v>
      </c>
      <c r="L383" s="6"/>
      <c r="M383" s="2" t="str">
        <f>IF(J383="",ROUND(I383*(1-IF(ISBLANK(L383),K383,L383)/100),2),ROUND(J383*(1-IF(ISBLANK(L383),K383,L383)/100),2))</f>
      </c>
      <c r="N383" s="7" t="str">
        <f>IF(NOT(AND(J383="",L383="")),IF(OR(AND(L383&lt;&gt;"",NOT(ISNUMBER(L383))),IFERROR(MOD(L383,1),1)&gt;0,AND(ISNUMBER(L383),OR(L383&lt;0,L383&gt;95))),"Введите целое число от 0 до 95",IF(OR(AND(J383&lt;&gt;"",NOT(ISNUMBER(J383))),IFERROR(MOD(J383,1),1)&gt;0,AND(ISNUMBER(J383),OR(J383&lt;50,J383&gt;20000000))),"Введите целое число от 50 до 20000000",IF(NOT(ABS(IFERROR(VALUE(LEFT(M383,FIND("-",M383)-1)),M383)*100-(2500+2000000000)/2)&lt;=ABS(2500-2000000000)/2),"Цена со скидкой должна быть от 25 до 20000000",IF(IFERROR(VALUE(LEFT(M383,FIND("-",M383)-1)),M383)*229&lt;40700,"Вы уменьшили цену в несколько раз, товар попадет в карантин цен",IF(AND(IFERROR(VALUE(I383),0)=0,ISNUMBER(J383),OR(J383&lt;226,ABS(IFERROR(VALUE(LEFT(M383,FIND("-",M383)-1)),M383))*100&lt;22600)),"Проверьте цену товара. Большинство товаров в выбранной категории стоят дороже 226",""))))),"")</f>
      </c>
    </row>
    <row r="384">
      <c r="A384" s="2" t="inlineStr">
        <is>
          <t>VitalEmb</t>
        </is>
      </c>
      <c r="B384" s="2" t="inlineStr">
        <is>
          <t>Декор для одежды</t>
        </is>
      </c>
      <c r="C384" s="2">
        <v>711827888</v>
      </c>
      <c r="D384" s="2" t="inlineStr">
        <is>
          <t>svopict0031</t>
        </is>
      </c>
      <c r="E384" s="2" t="inlineStr">
        <is>
          <t>2047945036167</t>
        </is>
      </c>
      <c r="F384" s="2">
        <v>14</v>
      </c>
      <c r="G384" s="2">
        <v>0</v>
      </c>
      <c r="H384" s="2">
        <v>999</v>
      </c>
      <c r="I384" s="2" t="inlineStr">
        <is>
          <t>1100</t>
        </is>
      </c>
      <c r="J384" s="4"/>
      <c r="K384" s="2">
        <v>57</v>
      </c>
      <c r="L384" s="6"/>
      <c r="M384" s="2" t="str">
        <f>IF(J384="",ROUND(I384*(1-IF(ISBLANK(L384),K384,L384)/100),2),ROUND(J384*(1-IF(ISBLANK(L384),K384,L384)/100),2))</f>
      </c>
      <c r="N384" s="7" t="str">
        <f>IF(NOT(AND(J384="",L384="")),IF(OR(AND(L384&lt;&gt;"",NOT(ISNUMBER(L384))),IFERROR(MOD(L384,1),1)&gt;0,AND(ISNUMBER(L384),OR(L384&lt;0,L384&gt;95))),"Введите целое число от 0 до 95",IF(OR(AND(J384&lt;&gt;"",NOT(ISNUMBER(J384))),IFERROR(MOD(J384,1),1)&gt;0,AND(ISNUMBER(J384),OR(J384&lt;50,J384&gt;20000000))),"Введите целое число от 50 до 20000000",IF(NOT(ABS(IFERROR(VALUE(LEFT(M384,FIND("-",M384)-1)),M384)*100-(2500+2000000000)/2)&lt;=ABS(2500-2000000000)/2),"Цена со скидкой должна быть от 25 до 20000000",IF(IFERROR(VALUE(LEFT(M384,FIND("-",M384)-1)),M384)*229&lt;47300,"Вы уменьшили цену в несколько раз, товар попадет в карантин цен",IF(AND(IFERROR(VALUE(I384),0)=0,ISNUMBER(J384),OR(J384&lt;226,ABS(IFERROR(VALUE(LEFT(M384,FIND("-",M384)-1)),M384))*100&lt;22600)),"Проверьте цену товара. Большинство товаров в выбранной категории стоят дороже 226",""))))),"")</f>
      </c>
    </row>
    <row r="385">
      <c r="A385" s="2" t="inlineStr">
        <is>
          <t>VitalEmb</t>
        </is>
      </c>
      <c r="B385" s="2" t="inlineStr">
        <is>
          <t>Декор для одежды</t>
        </is>
      </c>
      <c r="C385" s="2">
        <v>722353706</v>
      </c>
      <c r="D385" s="2" t="inlineStr">
        <is>
          <t>svopict0033</t>
        </is>
      </c>
      <c r="E385" s="2" t="inlineStr">
        <is>
          <t>2048020892050</t>
        </is>
      </c>
      <c r="F385" s="2">
        <v>11</v>
      </c>
      <c r="G385" s="2">
        <v>0</v>
      </c>
      <c r="H385" s="2">
        <v>999</v>
      </c>
      <c r="I385" s="2" t="inlineStr">
        <is>
          <t>1100</t>
        </is>
      </c>
      <c r="J385" s="4"/>
      <c r="K385" s="2">
        <v>57</v>
      </c>
      <c r="L385" s="6"/>
      <c r="M385" s="2" t="str">
        <f>IF(J385="",ROUND(I385*(1-IF(ISBLANK(L385),K385,L385)/100),2),ROUND(J385*(1-IF(ISBLANK(L385),K385,L385)/100),2))</f>
      </c>
      <c r="N385" s="7" t="str">
        <f>IF(NOT(AND(J385="",L385="")),IF(OR(AND(L385&lt;&gt;"",NOT(ISNUMBER(L385))),IFERROR(MOD(L385,1),1)&gt;0,AND(ISNUMBER(L385),OR(L385&lt;0,L385&gt;95))),"Введите целое число от 0 до 95",IF(OR(AND(J385&lt;&gt;"",NOT(ISNUMBER(J385))),IFERROR(MOD(J385,1),1)&gt;0,AND(ISNUMBER(J385),OR(J385&lt;50,J385&gt;20000000))),"Введите целое число от 50 до 20000000",IF(NOT(ABS(IFERROR(VALUE(LEFT(M385,FIND("-",M385)-1)),M385)*100-(2500+2000000000)/2)&lt;=ABS(2500-2000000000)/2),"Цена со скидкой должна быть от 25 до 20000000",IF(IFERROR(VALUE(LEFT(M385,FIND("-",M385)-1)),M385)*229&lt;47300,"Вы уменьшили цену в несколько раз, товар попадет в карантин цен",IF(AND(IFERROR(VALUE(I385),0)=0,ISNUMBER(J385),OR(J385&lt;226,ABS(IFERROR(VALUE(LEFT(M385,FIND("-",M385)-1)),M385))*100&lt;22600)),"Проверьте цену товара. Большинство товаров в выбранной категории стоят дороже 226",""))))),"")</f>
      </c>
    </row>
    <row r="386">
      <c r="A386" s="2" t="inlineStr">
        <is>
          <t>VitalEmb</t>
        </is>
      </c>
      <c r="B386" s="2" t="inlineStr">
        <is>
          <t>Декор для одежды</t>
        </is>
      </c>
      <c r="C386" s="2">
        <v>600666131</v>
      </c>
      <c r="D386" s="2" t="inlineStr">
        <is>
          <t>svopict0023_pict0162</t>
        </is>
      </c>
      <c r="E386" s="2" t="inlineStr">
        <is>
          <t>2047129541005</t>
        </is>
      </c>
      <c r="F386" s="2">
        <v>14</v>
      </c>
      <c r="G386" s="2">
        <v>0</v>
      </c>
      <c r="H386" s="2">
        <v>448</v>
      </c>
      <c r="I386" s="2" t="inlineStr">
        <is>
          <t>1100</t>
        </is>
      </c>
      <c r="J386" s="4"/>
      <c r="K386" s="2">
        <v>63</v>
      </c>
      <c r="L386" s="6"/>
      <c r="M386" s="2" t="str">
        <f>IF(J386="",ROUND(I386*(1-IF(ISBLANK(L386),K386,L386)/100),2),ROUND(J386*(1-IF(ISBLANK(L386),K386,L386)/100),2))</f>
      </c>
      <c r="N386" s="7" t="str">
        <f>IF(NOT(AND(J386="",L386="")),IF(OR(AND(L386&lt;&gt;"",NOT(ISNUMBER(L386))),IFERROR(MOD(L386,1),1)&gt;0,AND(ISNUMBER(L386),OR(L386&lt;0,L386&gt;95))),"Введите целое число от 0 до 95",IF(OR(AND(J386&lt;&gt;"",NOT(ISNUMBER(J386))),IFERROR(MOD(J386,1),1)&gt;0,AND(ISNUMBER(J386),OR(J386&lt;50,J386&gt;20000000))),"Введите целое число от 50 до 20000000",IF(NOT(ABS(IFERROR(VALUE(LEFT(M386,FIND("-",M386)-1)),M386)*100-(2500+2000000000)/2)&lt;=ABS(2500-2000000000)/2),"Цена со скидкой должна быть от 25 до 20000000",IF(IFERROR(VALUE(LEFT(M386,FIND("-",M386)-1)),M386)*229&lt;40700,"Вы уменьшили цену в несколько раз, товар попадет в карантин цен",IF(AND(IFERROR(VALUE(I386),0)=0,ISNUMBER(J386),OR(J386&lt;226,ABS(IFERROR(VALUE(LEFT(M386,FIND("-",M386)-1)),M386))*100&lt;22600)),"Проверьте цену товара. Большинство товаров в выбранной категории стоят дороже 226",""))))),"")</f>
      </c>
    </row>
    <row r="387">
      <c r="A387" s="2" t="inlineStr">
        <is>
          <t>VitalEmb</t>
        </is>
      </c>
      <c r="B387" s="2" t="inlineStr">
        <is>
          <t>Декор для одежды</t>
        </is>
      </c>
      <c r="C387" s="2">
        <v>758101508</v>
      </c>
      <c r="D387" s="2" t="inlineStr">
        <is>
          <t>svopict0034</t>
        </is>
      </c>
      <c r="E387" s="2" t="inlineStr">
        <is>
          <t>2048348703984</t>
        </is>
      </c>
      <c r="F387" s="2">
        <v>16</v>
      </c>
      <c r="G387" s="2">
        <v>0</v>
      </c>
      <c r="H387" s="2">
        <v>999</v>
      </c>
      <c r="I387" s="2" t="inlineStr">
        <is>
          <t>1100</t>
        </is>
      </c>
      <c r="J387" s="4"/>
      <c r="K387" s="2">
        <v>53</v>
      </c>
      <c r="L387" s="6"/>
      <c r="M387" s="2" t="str">
        <f>IF(J387="",ROUND(I387*(1-IF(ISBLANK(L387),K387,L387)/100),2),ROUND(J387*(1-IF(ISBLANK(L387),K387,L387)/100),2))</f>
      </c>
      <c r="N387" s="7" t="str">
        <f>IF(NOT(AND(J387="",L387="")),IF(OR(AND(L387&lt;&gt;"",NOT(ISNUMBER(L387))),IFERROR(MOD(L387,1),1)&gt;0,AND(ISNUMBER(L387),OR(L387&lt;0,L387&gt;95))),"Введите целое число от 0 до 95",IF(OR(AND(J387&lt;&gt;"",NOT(ISNUMBER(J387))),IFERROR(MOD(J387,1),1)&gt;0,AND(ISNUMBER(J387),OR(J387&lt;50,J387&gt;20000000))),"Введите целое число от 50 до 20000000",IF(NOT(ABS(IFERROR(VALUE(LEFT(M387,FIND("-",M387)-1)),M387)*100-(2500+2000000000)/2)&lt;=ABS(2500-2000000000)/2),"Цена со скидкой должна быть от 25 до 20000000",IF(IFERROR(VALUE(LEFT(M387,FIND("-",M387)-1)),M387)*229&lt;51700,"Вы уменьшили цену в несколько раз, товар попадет в карантин цен",IF(AND(IFERROR(VALUE(I387),0)=0,ISNUMBER(J387),OR(J387&lt;226,ABS(IFERROR(VALUE(LEFT(M387,FIND("-",M387)-1)),M387))*100&lt;22600)),"Проверьте цену товара. Большинство товаров в выбранной категории стоят дороже 226",""))))),"")</f>
      </c>
    </row>
    <row r="388">
      <c r="A388" s="2" t="inlineStr">
        <is>
          <t>VitalEmb</t>
        </is>
      </c>
      <c r="B388" s="2" t="inlineStr">
        <is>
          <t>Декор для одежды</t>
        </is>
      </c>
      <c r="C388" s="2">
        <v>593256180</v>
      </c>
      <c r="D388" s="2" t="inlineStr">
        <is>
          <t>bplapict0007_pict0013_222736</t>
        </is>
      </c>
      <c r="E388" s="2" t="inlineStr">
        <is>
          <t>2047048396236</t>
        </is>
      </c>
      <c r="F388" s="2">
        <v>7</v>
      </c>
      <c r="G388" s="2">
        <v>0</v>
      </c>
      <c r="H388" s="2">
        <v>999</v>
      </c>
      <c r="I388" s="2" t="inlineStr">
        <is>
          <t>1100</t>
        </is>
      </c>
      <c r="J388" s="4"/>
      <c r="K388" s="2">
        <v>62</v>
      </c>
      <c r="L388" s="6"/>
      <c r="M388" s="2" t="str">
        <f>IF(J388="",ROUND(I388*(1-IF(ISBLANK(L388),K388,L388)/100),2),ROUND(J388*(1-IF(ISBLANK(L388),K388,L388)/100),2))</f>
      </c>
      <c r="N388" s="7" t="str">
        <f>IF(NOT(AND(J388="",L388="")),IF(OR(AND(L388&lt;&gt;"",NOT(ISNUMBER(L388))),IFERROR(MOD(L388,1),1)&gt;0,AND(ISNUMBER(L388),OR(L388&lt;0,L388&gt;95))),"Введите целое число от 0 до 95",IF(OR(AND(J388&lt;&gt;"",NOT(ISNUMBER(J388))),IFERROR(MOD(J388,1),1)&gt;0,AND(ISNUMBER(J388),OR(J388&lt;50,J388&gt;20000000))),"Введите целое число от 50 до 20000000",IF(NOT(ABS(IFERROR(VALUE(LEFT(M388,FIND("-",M388)-1)),M388)*100-(2500+2000000000)/2)&lt;=ABS(2500-2000000000)/2),"Цена со скидкой должна быть от 25 до 20000000",IF(IFERROR(VALUE(LEFT(M388,FIND("-",M388)-1)),M388)*229&lt;41800,"Вы уменьшили цену в несколько раз, товар попадет в карантин цен",IF(AND(IFERROR(VALUE(I388),0)=0,ISNUMBER(J388),OR(J388&lt;226,ABS(IFERROR(VALUE(LEFT(M388,FIND("-",M388)-1)),M388))*100&lt;22600)),"Проверьте цену товара. Большинство товаров в выбранной категории стоят дороже 226",""))))),"")</f>
      </c>
    </row>
    <row r="389">
      <c r="A389" s="2" t="inlineStr">
        <is>
          <t>VitalEmb</t>
        </is>
      </c>
      <c r="B389" s="2" t="inlineStr">
        <is>
          <t>Декор для одежды</t>
        </is>
      </c>
      <c r="C389" s="2">
        <v>595878318</v>
      </c>
      <c r="D389" s="2" t="inlineStr">
        <is>
          <t>bplapict0009_222551</t>
        </is>
      </c>
      <c r="E389" s="2" t="inlineStr">
        <is>
          <t>2047076083146</t>
        </is>
      </c>
      <c r="F389" s="2">
        <v>5</v>
      </c>
      <c r="G389" s="2">
        <v>0</v>
      </c>
      <c r="H389" s="2">
        <v>53</v>
      </c>
      <c r="I389" s="2" t="inlineStr">
        <is>
          <t>1100</t>
        </is>
      </c>
      <c r="J389" s="4"/>
      <c r="K389" s="2">
        <v>58</v>
      </c>
      <c r="L389" s="6"/>
      <c r="M389" s="2" t="str">
        <f>IF(J389="",ROUND(I389*(1-IF(ISBLANK(L389),K389,L389)/100),2),ROUND(J389*(1-IF(ISBLANK(L389),K389,L389)/100),2))</f>
      </c>
      <c r="N389" s="7" t="str">
        <f>IF(NOT(AND(J389="",L389="")),IF(OR(AND(L389&lt;&gt;"",NOT(ISNUMBER(L389))),IFERROR(MOD(L389,1),1)&gt;0,AND(ISNUMBER(L389),OR(L389&lt;0,L389&gt;95))),"Введите целое число от 0 до 95",IF(OR(AND(J389&lt;&gt;"",NOT(ISNUMBER(J389))),IFERROR(MOD(J389,1),1)&gt;0,AND(ISNUMBER(J389),OR(J389&lt;50,J389&gt;20000000))),"Введите целое число от 50 до 20000000",IF(NOT(ABS(IFERROR(VALUE(LEFT(M389,FIND("-",M389)-1)),M389)*100-(2500+2000000000)/2)&lt;=ABS(2500-2000000000)/2),"Цена со скидкой должна быть от 25 до 20000000",IF(IFERROR(VALUE(LEFT(M389,FIND("-",M389)-1)),M389)*229&lt;46200,"Вы уменьшили цену в несколько раз, товар попадет в карантин цен",IF(AND(IFERROR(VALUE(I389),0)=0,ISNUMBER(J389),OR(J389&lt;226,ABS(IFERROR(VALUE(LEFT(M389,FIND("-",M389)-1)),M389))*100&lt;22600)),"Проверьте цену товара. Большинство товаров в выбранной категории стоят дороже 226",""))))),"")</f>
      </c>
    </row>
    <row r="390">
      <c r="A390" s="2" t="inlineStr">
        <is>
          <t>VitalEmb</t>
        </is>
      </c>
      <c r="B390" s="2" t="inlineStr">
        <is>
          <t>Декор для одежды</t>
        </is>
      </c>
      <c r="C390" s="2">
        <v>595962369</v>
      </c>
      <c r="D390" s="2" t="inlineStr">
        <is>
          <t>bplapict0011_222395</t>
        </is>
      </c>
      <c r="E390" s="2" t="inlineStr">
        <is>
          <t>2047076372578</t>
        </is>
      </c>
      <c r="F390" s="2">
        <v>7</v>
      </c>
      <c r="G390" s="2">
        <v>0</v>
      </c>
      <c r="H390" s="2">
        <v>53</v>
      </c>
      <c r="I390" s="2" t="inlineStr">
        <is>
          <t>1100</t>
        </is>
      </c>
      <c r="J390" s="4"/>
      <c r="K390" s="2">
        <v>60</v>
      </c>
      <c r="L390" s="6"/>
      <c r="M390" s="2" t="str">
        <f>IF(J390="",ROUND(I390*(1-IF(ISBLANK(L390),K390,L390)/100),2),ROUND(J390*(1-IF(ISBLANK(L390),K390,L390)/100),2))</f>
      </c>
      <c r="N390" s="7" t="str">
        <f>IF(NOT(AND(J390="",L390="")),IF(OR(AND(L390&lt;&gt;"",NOT(ISNUMBER(L390))),IFERROR(MOD(L390,1),1)&gt;0,AND(ISNUMBER(L390),OR(L390&lt;0,L390&gt;95))),"Введите целое число от 0 до 95",IF(OR(AND(J390&lt;&gt;"",NOT(ISNUMBER(J390))),IFERROR(MOD(J390,1),1)&gt;0,AND(ISNUMBER(J390),OR(J390&lt;50,J390&gt;20000000))),"Введите целое число от 50 до 20000000",IF(NOT(ABS(IFERROR(VALUE(LEFT(M390,FIND("-",M390)-1)),M390)*100-(2500+2000000000)/2)&lt;=ABS(2500-2000000000)/2),"Цена со скидкой должна быть от 25 до 20000000",IF(IFERROR(VALUE(LEFT(M390,FIND("-",M390)-1)),M390)*229&lt;44000,"Вы уменьшили цену в несколько раз, товар попадет в карантин цен",IF(AND(IFERROR(VALUE(I390),0)=0,ISNUMBER(J390),OR(J390&lt;226,ABS(IFERROR(VALUE(LEFT(M390,FIND("-",M390)-1)),M390))*100&lt;22600)),"Проверьте цену товара. Большинство товаров в выбранной категории стоят дороже 226",""))))),"")</f>
      </c>
    </row>
    <row r="391">
      <c r="A391" s="2" t="inlineStr">
        <is>
          <t>VitalEmb</t>
        </is>
      </c>
      <c r="B391" s="2" t="inlineStr">
        <is>
          <t>Декор для одежды</t>
        </is>
      </c>
      <c r="C391" s="2">
        <v>593262142</v>
      </c>
      <c r="D391" s="2" t="inlineStr">
        <is>
          <t>bplapict0008_pict0021_222658</t>
        </is>
      </c>
      <c r="E391" s="2" t="inlineStr">
        <is>
          <t>2047048700217</t>
        </is>
      </c>
      <c r="F391" s="2">
        <v>10</v>
      </c>
      <c r="G391" s="2">
        <v>0</v>
      </c>
      <c r="H391" s="2">
        <v>78</v>
      </c>
      <c r="I391" s="2" t="inlineStr">
        <is>
          <t>1100</t>
        </is>
      </c>
      <c r="J391" s="4"/>
      <c r="K391" s="2">
        <v>60</v>
      </c>
      <c r="L391" s="6"/>
      <c r="M391" s="2" t="str">
        <f>IF(J391="",ROUND(I391*(1-IF(ISBLANK(L391),K391,L391)/100),2),ROUND(J391*(1-IF(ISBLANK(L391),K391,L391)/100),2))</f>
      </c>
      <c r="N391" s="7" t="str">
        <f>IF(NOT(AND(J391="",L391="")),IF(OR(AND(L391&lt;&gt;"",NOT(ISNUMBER(L391))),IFERROR(MOD(L391,1),1)&gt;0,AND(ISNUMBER(L391),OR(L391&lt;0,L391&gt;95))),"Введите целое число от 0 до 95",IF(OR(AND(J391&lt;&gt;"",NOT(ISNUMBER(J391))),IFERROR(MOD(J391,1),1)&gt;0,AND(ISNUMBER(J391),OR(J391&lt;50,J391&gt;20000000))),"Введите целое число от 50 до 20000000",IF(NOT(ABS(IFERROR(VALUE(LEFT(M391,FIND("-",M391)-1)),M391)*100-(2500+2000000000)/2)&lt;=ABS(2500-2000000000)/2),"Цена со скидкой должна быть от 25 до 20000000",IF(IFERROR(VALUE(LEFT(M391,FIND("-",M391)-1)),M391)*229&lt;44000,"Вы уменьшили цену в несколько раз, товар попадет в карантин цен",IF(AND(IFERROR(VALUE(I391),0)=0,ISNUMBER(J391),OR(J391&lt;226,ABS(IFERROR(VALUE(LEFT(M391,FIND("-",M391)-1)),M391))*100&lt;22600)),"Проверьте цену товара. Большинство товаров в выбранной категории стоят дороже 226",""))))),"")</f>
      </c>
    </row>
    <row r="392">
      <c r="A392" s="2" t="inlineStr">
        <is>
          <t>VitalEmb</t>
        </is>
      </c>
      <c r="B392" s="2" t="inlineStr">
        <is>
          <t>Декор для одежды</t>
        </is>
      </c>
      <c r="C392" s="2">
        <v>709463729</v>
      </c>
      <c r="D392" s="2" t="inlineStr">
        <is>
          <t>bplapict0022</t>
        </is>
      </c>
      <c r="E392" s="2" t="inlineStr">
        <is>
          <t>2047919671011</t>
        </is>
      </c>
      <c r="F392" s="2">
        <v>16</v>
      </c>
      <c r="G392" s="2">
        <v>0</v>
      </c>
      <c r="H392" s="2">
        <v>999</v>
      </c>
      <c r="I392" s="2" t="inlineStr">
        <is>
          <t>1100</t>
        </is>
      </c>
      <c r="J392" s="4"/>
      <c r="K392" s="2">
        <v>53</v>
      </c>
      <c r="L392" s="6"/>
      <c r="M392" s="2" t="str">
        <f>IF(J392="",ROUND(I392*(1-IF(ISBLANK(L392),K392,L392)/100),2),ROUND(J392*(1-IF(ISBLANK(L392),K392,L392)/100),2))</f>
      </c>
      <c r="N392" s="7" t="str">
        <f>IF(NOT(AND(J392="",L392="")),IF(OR(AND(L392&lt;&gt;"",NOT(ISNUMBER(L392))),IFERROR(MOD(L392,1),1)&gt;0,AND(ISNUMBER(L392),OR(L392&lt;0,L392&gt;95))),"Введите целое число от 0 до 95",IF(OR(AND(J392&lt;&gt;"",NOT(ISNUMBER(J392))),IFERROR(MOD(J392,1),1)&gt;0,AND(ISNUMBER(J392),OR(J392&lt;50,J392&gt;20000000))),"Введите целое число от 50 до 20000000",IF(NOT(ABS(IFERROR(VALUE(LEFT(M392,FIND("-",M392)-1)),M392)*100-(2500+2000000000)/2)&lt;=ABS(2500-2000000000)/2),"Цена со скидкой должна быть от 25 до 20000000",IF(IFERROR(VALUE(LEFT(M392,FIND("-",M392)-1)),M392)*229&lt;51700,"Вы уменьшили цену в несколько раз, товар попадет в карантин цен",IF(AND(IFERROR(VALUE(I392),0)=0,ISNUMBER(J392),OR(J392&lt;226,ABS(IFERROR(VALUE(LEFT(M392,FIND("-",M392)-1)),M392))*100&lt;22600)),"Проверьте цену товара. Большинство товаров в выбранной категории стоят дороже 226",""))))),"")</f>
      </c>
    </row>
    <row r="393">
      <c r="A393" s="2" t="inlineStr">
        <is>
          <t>VitalEmb</t>
        </is>
      </c>
      <c r="B393" s="2" t="inlineStr">
        <is>
          <t>Декор для одежды</t>
        </is>
      </c>
      <c r="C393" s="2">
        <v>600686899</v>
      </c>
      <c r="D393" s="2" t="inlineStr">
        <is>
          <t>razpict0010_pict154</t>
        </is>
      </c>
      <c r="E393" s="2" t="inlineStr">
        <is>
          <t>2047129881941</t>
        </is>
      </c>
      <c r="F393" s="2">
        <v>13</v>
      </c>
      <c r="G393" s="2">
        <v>0</v>
      </c>
      <c r="H393" s="2">
        <v>999</v>
      </c>
      <c r="I393" s="2" t="inlineStr">
        <is>
          <t>1100</t>
        </is>
      </c>
      <c r="J393" s="4"/>
      <c r="K393" s="2">
        <v>64</v>
      </c>
      <c r="L393" s="6"/>
      <c r="M393" s="2" t="str">
        <f>IF(J393="",ROUND(I393*(1-IF(ISBLANK(L393),K393,L393)/100),2),ROUND(J393*(1-IF(ISBLANK(L393),K393,L393)/100),2))</f>
      </c>
      <c r="N393" s="7" t="str">
        <f>IF(NOT(AND(J393="",L393="")),IF(OR(AND(L393&lt;&gt;"",NOT(ISNUMBER(L393))),IFERROR(MOD(L393,1),1)&gt;0,AND(ISNUMBER(L393),OR(L393&lt;0,L393&gt;95))),"Введите целое число от 0 до 95",IF(OR(AND(J393&lt;&gt;"",NOT(ISNUMBER(J393))),IFERROR(MOD(J393,1),1)&gt;0,AND(ISNUMBER(J393),OR(J393&lt;50,J393&gt;20000000))),"Введите целое число от 50 до 20000000",IF(NOT(ABS(IFERROR(VALUE(LEFT(M393,FIND("-",M393)-1)),M393)*100-(2500+2000000000)/2)&lt;=ABS(2500-2000000000)/2),"Цена со скидкой должна быть от 25 до 20000000",IF(IFERROR(VALUE(LEFT(M393,FIND("-",M393)-1)),M393)*229&lt;39600,"Вы уменьшили цену в несколько раз, товар попадет в карантин цен",IF(AND(IFERROR(VALUE(I393),0)=0,ISNUMBER(J393),OR(J393&lt;226,ABS(IFERROR(VALUE(LEFT(M393,FIND("-",M393)-1)),M393))*100&lt;22600)),"Проверьте цену товара. Большинство товаров в выбранной категории стоят дороже 226",""))))),"")</f>
      </c>
    </row>
    <row r="394">
      <c r="A394" s="2" t="inlineStr">
        <is>
          <t>VitalEmb</t>
        </is>
      </c>
      <c r="B394" s="2" t="inlineStr">
        <is>
          <t>Декор для одежды</t>
        </is>
      </c>
      <c r="C394" s="2">
        <v>709493925</v>
      </c>
      <c r="D394" s="2" t="inlineStr">
        <is>
          <t>razpict0036</t>
        </is>
      </c>
      <c r="E394" s="2" t="inlineStr">
        <is>
          <t>2047919857323</t>
        </is>
      </c>
      <c r="F394" s="2">
        <v>19</v>
      </c>
      <c r="G394" s="2">
        <v>0</v>
      </c>
      <c r="H394" s="2">
        <v>999</v>
      </c>
      <c r="I394" s="2" t="inlineStr">
        <is>
          <t>1100</t>
        </is>
      </c>
      <c r="J394" s="4"/>
      <c r="K394" s="2">
        <v>61</v>
      </c>
      <c r="L394" s="6"/>
      <c r="M394" s="2" t="str">
        <f>IF(J394="",ROUND(I394*(1-IF(ISBLANK(L394),K394,L394)/100),2),ROUND(J394*(1-IF(ISBLANK(L394),K394,L394)/100),2))</f>
      </c>
      <c r="N394" s="7" t="str">
        <f>IF(NOT(AND(J394="",L394="")),IF(OR(AND(L394&lt;&gt;"",NOT(ISNUMBER(L394))),IFERROR(MOD(L394,1),1)&gt;0,AND(ISNUMBER(L394),OR(L394&lt;0,L394&gt;95))),"Введите целое число от 0 до 95",IF(OR(AND(J394&lt;&gt;"",NOT(ISNUMBER(J394))),IFERROR(MOD(J394,1),1)&gt;0,AND(ISNUMBER(J394),OR(J394&lt;50,J394&gt;20000000))),"Введите целое число от 50 до 20000000",IF(NOT(ABS(IFERROR(VALUE(LEFT(M394,FIND("-",M394)-1)),M394)*100-(2500+2000000000)/2)&lt;=ABS(2500-2000000000)/2),"Цена со скидкой должна быть от 25 до 20000000",IF(IFERROR(VALUE(LEFT(M394,FIND("-",M394)-1)),M394)*229&lt;42900,"Вы уменьшили цену в несколько раз, товар попадет в карантин цен",IF(AND(IFERROR(VALUE(I394),0)=0,ISNUMBER(J394),OR(J394&lt;226,ABS(IFERROR(VALUE(LEFT(M394,FIND("-",M394)-1)),M394))*100&lt;22600)),"Проверьте цену товара. Большинство товаров в выбранной категории стоят дороже 226",""))))),"")</f>
      </c>
    </row>
    <row r="395">
      <c r="A395" s="2" t="inlineStr">
        <is>
          <t>VitalEmb</t>
        </is>
      </c>
      <c r="B395" s="2" t="inlineStr">
        <is>
          <t>Декор для одежды</t>
        </is>
      </c>
      <c r="C395" s="2">
        <v>707824484</v>
      </c>
      <c r="D395" s="2" t="inlineStr">
        <is>
          <t>rosgkit20004</t>
        </is>
      </c>
      <c r="E395" s="2" t="inlineStr">
        <is>
          <t>2047903592148</t>
        </is>
      </c>
      <c r="F395" s="2">
        <v>8</v>
      </c>
      <c r="G395" s="2">
        <v>0</v>
      </c>
      <c r="H395" s="2">
        <v>999</v>
      </c>
      <c r="I395" s="2" t="inlineStr">
        <is>
          <t>2000</t>
        </is>
      </c>
      <c r="J395" s="4"/>
      <c r="K395" s="2">
        <v>57</v>
      </c>
      <c r="L395" s="6"/>
      <c r="M395" s="2" t="str">
        <f>IF(J395="",ROUND(I395*(1-IF(ISBLANK(L395),K395,L395)/100),2),ROUND(J395*(1-IF(ISBLANK(L395),K395,L395)/100),2))</f>
      </c>
      <c r="N395" s="7" t="str">
        <f>IF(NOT(AND(J395="",L395="")),IF(OR(AND(L395&lt;&gt;"",NOT(ISNUMBER(L395))),IFERROR(MOD(L395,1),1)&gt;0,AND(ISNUMBER(L395),OR(L395&lt;0,L395&gt;95))),"Введите целое число от 0 до 95",IF(OR(AND(J395&lt;&gt;"",NOT(ISNUMBER(J395))),IFERROR(MOD(J395,1),1)&gt;0,AND(ISNUMBER(J395),OR(J395&lt;50,J395&gt;20000000))),"Введите целое число от 50 до 20000000",IF(NOT(ABS(IFERROR(VALUE(LEFT(M395,FIND("-",M395)-1)),M395)*100-(2500+2000000000)/2)&lt;=ABS(2500-2000000000)/2),"Цена со скидкой должна быть от 25 до 20000000",IF(IFERROR(VALUE(LEFT(M395,FIND("-",M395)-1)),M395)*229&lt;86000,"Вы уменьшили цену в несколько раз, товар попадет в карантин цен",IF(AND(IFERROR(VALUE(I395),0)=0,ISNUMBER(J395),OR(J395&lt;226,ABS(IFERROR(VALUE(LEFT(M395,FIND("-",M395)-1)),M395))*100&lt;22600)),"Проверьте цену товара. Большинство товаров в выбранной категории стоят дороже 226",""))))),"")</f>
      </c>
    </row>
    <row r="396">
      <c r="A396" s="2" t="inlineStr">
        <is>
          <t>VitalEmb</t>
        </is>
      </c>
      <c r="B396" s="2" t="inlineStr">
        <is>
          <t>Декор для одежды</t>
        </is>
      </c>
      <c r="C396" s="2">
        <v>600628909</v>
      </c>
      <c r="D396" s="2" t="inlineStr">
        <is>
          <t>shtpict0007_pict0168</t>
        </is>
      </c>
      <c r="E396" s="2" t="inlineStr">
        <is>
          <t>2047129074770</t>
        </is>
      </c>
      <c r="F396" s="2">
        <v>15</v>
      </c>
      <c r="G396" s="2">
        <v>0</v>
      </c>
      <c r="H396" s="2">
        <v>999</v>
      </c>
      <c r="I396" s="2" t="inlineStr">
        <is>
          <t>1100</t>
        </is>
      </c>
      <c r="J396" s="4"/>
      <c r="K396" s="2">
        <v>66</v>
      </c>
      <c r="L396" s="6"/>
      <c r="M396" s="2" t="str">
        <f>IF(J396="",ROUND(I396*(1-IF(ISBLANK(L396),K396,L396)/100),2),ROUND(J396*(1-IF(ISBLANK(L396),K396,L396)/100),2))</f>
      </c>
      <c r="N396" s="7" t="str">
        <f>IF(NOT(AND(J396="",L396="")),IF(OR(AND(L396&lt;&gt;"",NOT(ISNUMBER(L396))),IFERROR(MOD(L396,1),1)&gt;0,AND(ISNUMBER(L396),OR(L396&lt;0,L396&gt;95))),"Введите целое число от 0 до 95",IF(OR(AND(J396&lt;&gt;"",NOT(ISNUMBER(J396))),IFERROR(MOD(J396,1),1)&gt;0,AND(ISNUMBER(J396),OR(J396&lt;50,J396&gt;20000000))),"Введите целое число от 50 до 20000000",IF(NOT(ABS(IFERROR(VALUE(LEFT(M396,FIND("-",M396)-1)),M396)*100-(2500+2000000000)/2)&lt;=ABS(2500-2000000000)/2),"Цена со скидкой должна быть от 25 до 20000000",IF(IFERROR(VALUE(LEFT(M396,FIND("-",M396)-1)),M396)*229&lt;37399,"Вы уменьшили цену в несколько раз, товар попадет в карантин цен",IF(AND(IFERROR(VALUE(I396),0)=0,ISNUMBER(J396),OR(J396&lt;226,ABS(IFERROR(VALUE(LEFT(M396,FIND("-",M396)-1)),M396))*100&lt;22600)),"Проверьте цену товара. Большинство товаров в выбранной категории стоят дороже 226",""))))),"")</f>
      </c>
    </row>
    <row r="397">
      <c r="A397" s="2" t="inlineStr">
        <is>
          <t/>
        </is>
      </c>
      <c r="B397" s="2" t="inlineStr">
        <is>
          <t>Балаклавы</t>
        </is>
      </c>
      <c r="C397" s="2">
        <v>454259107</v>
      </c>
      <c r="D397" s="2" t="inlineStr">
        <is>
          <t>111047</t>
        </is>
      </c>
      <c r="E397" s="2" t="inlineStr">
        <is>
          <t>2044642955005</t>
        </is>
      </c>
      <c r="F397" s="2">
        <v>0</v>
      </c>
      <c r="G397" s="2">
        <v>0</v>
      </c>
      <c r="H397" s="2">
        <v>1</v>
      </c>
      <c r="I397" s="2" t="inlineStr">
        <is>
          <t>1200</t>
        </is>
      </c>
      <c r="J397" s="4"/>
      <c r="K397" s="2">
        <v>55</v>
      </c>
      <c r="L397" s="6"/>
      <c r="M397" s="2" t="str">
        <f>IF(J397="",ROUND(I397*(1-IF(ISBLANK(L397),K397,L397)/100),2),ROUND(J397*(1-IF(ISBLANK(L397),K397,L397)/100),2))</f>
      </c>
      <c r="N397" s="7" t="str">
        <f>IF(NOT(AND(J397="",L397="")),IF(OR(AND(L397&lt;&gt;"",NOT(ISNUMBER(L397))),IFERROR(MOD(L397,1),1)&gt;0,AND(ISNUMBER(L397),OR(L397&lt;0,L397&gt;95))),"Введите целое число от 0 до 95",IF(OR(AND(J397&lt;&gt;"",NOT(ISNUMBER(J397))),IFERROR(MOD(J397,1),1)&gt;0,AND(ISNUMBER(J397),OR(J397&lt;50,J397&gt;20000000))),"Введите целое число от 50 до 20000000",IF(NOT(ABS(IFERROR(VALUE(LEFT(M397,FIND("-",M397)-1)),M397)*100-(2500+2000000000)/2)&lt;=ABS(2500-2000000000)/2),"Цена со скидкой должна быть от 25 до 20000000",IF(IFERROR(VALUE(LEFT(M397,FIND("-",M397)-1)),M397)*200&lt;54000,"Вы уменьшили цену в несколько раз, товар попадет в карантин цен",IF(AND(IFERROR(VALUE(I397),0)=0,ISNUMBER(J397),OR(J397&lt;233,ABS(IFERROR(VALUE(LEFT(M397,FIND("-",M397)-1)),M397))*100&lt;23300)),"Проверьте цену товара. Большинство товаров в выбранной категории стоят дороже 233",""))))),"")</f>
      </c>
    </row>
    <row r="398">
      <c r="A398" s="2" t="inlineStr">
        <is>
          <t/>
        </is>
      </c>
      <c r="B398" s="2" t="inlineStr">
        <is>
          <t>Панамы</t>
        </is>
      </c>
      <c r="C398" s="2">
        <v>474714159</v>
      </c>
      <c r="D398" s="2" t="inlineStr">
        <is>
          <t>111045</t>
        </is>
      </c>
      <c r="E398" s="2" t="inlineStr">
        <is>
          <t>2044983093046</t>
        </is>
      </c>
      <c r="F398" s="2">
        <v>0</v>
      </c>
      <c r="G398" s="2">
        <v>0</v>
      </c>
      <c r="H398" s="2" t="inlineStr">
        <is>
          <t/>
        </is>
      </c>
      <c r="I398" s="2" t="inlineStr">
        <is>
          <t>2600</t>
        </is>
      </c>
      <c r="J398" s="4"/>
      <c r="K398" s="2">
        <v>55</v>
      </c>
      <c r="L398" s="6"/>
      <c r="M398" s="2" t="str">
        <f>IF(J398="",ROUND(I398*(1-IF(ISBLANK(L398),K398,L398)/100),2),ROUND(J398*(1-IF(ISBLANK(L398),K398,L398)/100),2))</f>
      </c>
      <c r="N398" s="7" t="str">
        <f>IF(NOT(AND(J398="",L398="")),IF(OR(AND(L398&lt;&gt;"",NOT(ISNUMBER(L398))),IFERROR(MOD(L398,1),1)&gt;0,AND(ISNUMBER(L398),OR(L398&lt;0,L398&gt;95))),"Введите целое число от 0 до 95",IF(OR(AND(J398&lt;&gt;"",NOT(ISNUMBER(J398))),IFERROR(MOD(J398,1),1)&gt;0,AND(ISNUMBER(J398),OR(J398&lt;50,J398&gt;20000000))),"Введите целое число от 50 до 20000000",IF(NOT(ABS(IFERROR(VALUE(LEFT(M398,FIND("-",M398)-1)),M398)*100-(2500+2000000000)/2)&lt;=ABS(2500-2000000000)/2),"Цена со скидкой должна быть от 25 до 20000000",IF(IFERROR(VALUE(LEFT(M398,FIND("-",M398)-1)),M398)*200&lt;116999,"Вы уменьшили цену в несколько раз, товар попадет в карантин цен",IF(AND(IFERROR(VALUE(I398),0)=0,ISNUMBER(J398),OR(J398&lt;327,ABS(IFERROR(VALUE(LEFT(M398,FIND("-",M398)-1)),M398))*100&lt;32700)),"Проверьте цену товара. Большинство товаров в выбранной категории стоят дороже 327",""))))),"")</f>
      </c>
    </row>
    <row r="399">
      <c r="A399" s="2" t="inlineStr">
        <is>
          <t/>
        </is>
      </c>
      <c r="B399" s="2" t="inlineStr">
        <is>
          <t>Панамы</t>
        </is>
      </c>
      <c r="C399" s="2">
        <v>473529399</v>
      </c>
      <c r="D399" s="2" t="inlineStr">
        <is>
          <t>111060</t>
        </is>
      </c>
      <c r="E399" s="2" t="inlineStr">
        <is>
          <t>2044968905777</t>
        </is>
      </c>
      <c r="F399" s="2">
        <v>0</v>
      </c>
      <c r="G399" s="2">
        <v>0</v>
      </c>
      <c r="H399" s="2">
        <v>999</v>
      </c>
      <c r="I399" s="2" t="inlineStr">
        <is>
          <t>2600</t>
        </is>
      </c>
      <c r="J399" s="4"/>
      <c r="K399" s="2">
        <v>55</v>
      </c>
      <c r="L399" s="6"/>
      <c r="M399" s="2" t="str">
        <f>IF(J399="",ROUND(I399*(1-IF(ISBLANK(L399),K399,L399)/100),2),ROUND(J399*(1-IF(ISBLANK(L399),K399,L399)/100),2))</f>
      </c>
      <c r="N399" s="7" t="str">
        <f>IF(NOT(AND(J399="",L399="")),IF(OR(AND(L399&lt;&gt;"",NOT(ISNUMBER(L399))),IFERROR(MOD(L399,1),1)&gt;0,AND(ISNUMBER(L399),OR(L399&lt;0,L399&gt;95))),"Введите целое число от 0 до 95",IF(OR(AND(J399&lt;&gt;"",NOT(ISNUMBER(J399))),IFERROR(MOD(J399,1),1)&gt;0,AND(ISNUMBER(J399),OR(J399&lt;50,J399&gt;20000000))),"Введите целое число от 50 до 20000000",IF(NOT(ABS(IFERROR(VALUE(LEFT(M399,FIND("-",M399)-1)),M399)*100-(2500+2000000000)/2)&lt;=ABS(2500-2000000000)/2),"Цена со скидкой должна быть от 25 до 20000000",IF(IFERROR(VALUE(LEFT(M399,FIND("-",M399)-1)),M399)*200&lt;116999,"Вы уменьшили цену в несколько раз, товар попадет в карантин цен",IF(AND(IFERROR(VALUE(I399),0)=0,ISNUMBER(J399),OR(J399&lt;327,ABS(IFERROR(VALUE(LEFT(M399,FIND("-",M399)-1)),M399))*100&lt;32700)),"Проверьте цену товара. Большинство товаров в выбранной категории стоят дороже 327",""))))),"")</f>
      </c>
    </row>
    <row r="400">
      <c r="A400" s="2" t="inlineStr">
        <is>
          <t/>
        </is>
      </c>
      <c r="B400" s="2" t="inlineStr">
        <is>
          <t>Панамы</t>
        </is>
      </c>
      <c r="C400" s="2">
        <v>448957708</v>
      </c>
      <c r="D400" s="2" t="inlineStr">
        <is>
          <t>111040</t>
        </is>
      </c>
      <c r="E400" s="2" t="inlineStr">
        <is>
          <t>2044522013221</t>
        </is>
      </c>
      <c r="F400" s="2">
        <v>0</v>
      </c>
      <c r="G400" s="2">
        <v>0</v>
      </c>
      <c r="H400" s="2">
        <v>1</v>
      </c>
      <c r="I400" s="2" t="inlineStr">
        <is>
          <t>2600</t>
        </is>
      </c>
      <c r="J400" s="4"/>
      <c r="K400" s="2">
        <v>55</v>
      </c>
      <c r="L400" s="6"/>
      <c r="M400" s="2" t="str">
        <f>IF(J400="",ROUND(I400*(1-IF(ISBLANK(L400),K400,L400)/100),2),ROUND(J400*(1-IF(ISBLANK(L400),K400,L400)/100),2))</f>
      </c>
      <c r="N400" s="7" t="str">
        <f>IF(NOT(AND(J400="",L400="")),IF(OR(AND(L400&lt;&gt;"",NOT(ISNUMBER(L400))),IFERROR(MOD(L400,1),1)&gt;0,AND(ISNUMBER(L400),OR(L400&lt;0,L400&gt;95))),"Введите целое число от 0 до 95",IF(OR(AND(J400&lt;&gt;"",NOT(ISNUMBER(J400))),IFERROR(MOD(J400,1),1)&gt;0,AND(ISNUMBER(J400),OR(J400&lt;50,J400&gt;20000000))),"Введите целое число от 50 до 20000000",IF(NOT(ABS(IFERROR(VALUE(LEFT(M400,FIND("-",M400)-1)),M400)*100-(2500+2000000000)/2)&lt;=ABS(2500-2000000000)/2),"Цена со скидкой должна быть от 25 до 20000000",IF(IFERROR(VALUE(LEFT(M400,FIND("-",M400)-1)),M400)*200&lt;116999,"Вы уменьшили цену в несколько раз, товар попадет в карантин цен",IF(AND(IFERROR(VALUE(I400),0)=0,ISNUMBER(J400),OR(J400&lt;327,ABS(IFERROR(VALUE(LEFT(M400,FIND("-",M400)-1)),M400))*100&lt;32700)),"Проверьте цену товара. Большинство товаров в выбранной категории стоят дороже 327",""))))),"")</f>
      </c>
    </row>
    <row r="401">
      <c r="A401" s="2" t="inlineStr">
        <is>
          <t/>
        </is>
      </c>
      <c r="B401" s="2" t="inlineStr">
        <is>
          <t>Аксессуары для оружия</t>
        </is>
      </c>
      <c r="C401" s="2">
        <v>451642961</v>
      </c>
      <c r="D401" s="2" t="inlineStr">
        <is>
          <t>111043</t>
        </is>
      </c>
      <c r="E401" s="2" t="inlineStr">
        <is>
          <t>2044580499975</t>
        </is>
      </c>
      <c r="F401" s="2">
        <v>0</v>
      </c>
      <c r="G401" s="2">
        <v>0</v>
      </c>
      <c r="H401" s="2">
        <v>1</v>
      </c>
      <c r="I401" s="2" t="inlineStr">
        <is>
          <t>2000</t>
        </is>
      </c>
      <c r="J401" s="4"/>
      <c r="K401" s="2">
        <v>55</v>
      </c>
      <c r="L401" s="6"/>
      <c r="M401" s="2" t="str">
        <f>IF(J401="",ROUND(I401*(1-IF(ISBLANK(L401),K401,L401)/100),2),ROUND(J401*(1-IF(ISBLANK(L401),K401,L401)/100),2))</f>
      </c>
      <c r="N401" s="7" t="str">
        <f>IF(NOT(AND(J401="",L401="")),IF(OR(AND(L401&lt;&gt;"",NOT(ISNUMBER(L401))),IFERROR(MOD(L401,1),1)&gt;0,AND(ISNUMBER(L401),OR(L401&lt;0,L401&gt;95))),"Введите целое число от 0 до 95",IF(OR(AND(J401&lt;&gt;"",NOT(ISNUMBER(J401))),IFERROR(MOD(J401,1),1)&gt;0,AND(ISNUMBER(J401),OR(J401&lt;50,J401&gt;20000000))),"Введите целое число от 50 до 20000000",IF(NOT(ABS(IFERROR(VALUE(LEFT(M401,FIND("-",M401)-1)),M401)*100-(2500+2000000000)/2)&lt;=ABS(2500-2000000000)/2),"Цена со скидкой должна быть от 25 до 20000000",IF(IFERROR(VALUE(LEFT(M401,FIND("-",M401)-1)),M401)*160&lt;89999,"Вы уменьшили цену в несколько раз, товар попадет в карантин цен",IF(AND(IFERROR(VALUE(I401),0)=0,ISNUMBER(J401),OR(J401&lt;292,ABS(IFERROR(VALUE(LEFT(M401,FIND("-",M401)-1)),M401))*100&lt;29200)),"Проверьте цену товара. Большинство товаров в выбранной категории стоят дороже 292",""))))),"")</f>
      </c>
    </row>
    <row r="402">
      <c r="A402" s="2" t="inlineStr">
        <is>
          <t/>
        </is>
      </c>
      <c r="B402" s="2" t="inlineStr">
        <is>
          <t>Аксессуары для оружия</t>
        </is>
      </c>
      <c r="C402" s="2">
        <v>462004027</v>
      </c>
      <c r="D402" s="2" t="inlineStr">
        <is>
          <t>111058</t>
        </is>
      </c>
      <c r="E402" s="2" t="inlineStr">
        <is>
          <t>2044749017750</t>
        </is>
      </c>
      <c r="F402" s="2">
        <v>0</v>
      </c>
      <c r="G402" s="2">
        <v>0</v>
      </c>
      <c r="H402" s="2">
        <v>1</v>
      </c>
      <c r="I402" s="2" t="inlineStr">
        <is>
          <t>2000</t>
        </is>
      </c>
      <c r="J402" s="4"/>
      <c r="K402" s="2">
        <v>55</v>
      </c>
      <c r="L402" s="6"/>
      <c r="M402" s="2" t="str">
        <f>IF(J402="",ROUND(I402*(1-IF(ISBLANK(L402),K402,L402)/100),2),ROUND(J402*(1-IF(ISBLANK(L402),K402,L402)/100),2))</f>
      </c>
      <c r="N402" s="7" t="str">
        <f>IF(NOT(AND(J402="",L402="")),IF(OR(AND(L402&lt;&gt;"",NOT(ISNUMBER(L402))),IFERROR(MOD(L402,1),1)&gt;0,AND(ISNUMBER(L402),OR(L402&lt;0,L402&gt;95))),"Введите целое число от 0 до 95",IF(OR(AND(J402&lt;&gt;"",NOT(ISNUMBER(J402))),IFERROR(MOD(J402,1),1)&gt;0,AND(ISNUMBER(J402),OR(J402&lt;50,J402&gt;20000000))),"Введите целое число от 50 до 20000000",IF(NOT(ABS(IFERROR(VALUE(LEFT(M402,FIND("-",M402)-1)),M402)*100-(2500+2000000000)/2)&lt;=ABS(2500-2000000000)/2),"Цена со скидкой должна быть от 25 до 20000000",IF(IFERROR(VALUE(LEFT(M402,FIND("-",M402)-1)),M402)*160&lt;89999,"Вы уменьшили цену в несколько раз, товар попадет в карантин цен",IF(AND(IFERROR(VALUE(I402),0)=0,ISNUMBER(J402),OR(J402&lt;292,ABS(IFERROR(VALUE(LEFT(M402,FIND("-",M402)-1)),M402))*100&lt;29200)),"Проверьте цену товара. Большинство товаров в выбранной категории стоят дороже 292",""))))),"")</f>
      </c>
    </row>
    <row r="403">
      <c r="A403" s="2" t="inlineStr">
        <is>
          <t/>
        </is>
      </c>
      <c r="B403" s="2" t="inlineStr">
        <is>
          <t>Коврики туристические</t>
        </is>
      </c>
      <c r="C403" s="2">
        <v>436474224</v>
      </c>
      <c r="D403" s="2" t="inlineStr">
        <is>
          <t>111023</t>
        </is>
      </c>
      <c r="E403" s="2" t="inlineStr">
        <is>
          <t>2044303522744</t>
        </is>
      </c>
      <c r="F403" s="2">
        <v>0</v>
      </c>
      <c r="G403" s="2">
        <v>0</v>
      </c>
      <c r="H403" s="2" t="inlineStr">
        <is>
          <t/>
        </is>
      </c>
      <c r="I403" s="2" t="inlineStr">
        <is>
          <t>6000</t>
        </is>
      </c>
      <c r="J403" s="4"/>
      <c r="K403" s="2">
        <v>55</v>
      </c>
      <c r="L403" s="6"/>
      <c r="M403" s="2" t="str">
        <f>IF(J403="",ROUND(I403*(1-IF(ISBLANK(L403),K403,L403)/100),2),ROUND(J403*(1-IF(ISBLANK(L403),K403,L403)/100),2))</f>
      </c>
      <c r="N403" s="7" t="str">
        <f>IF(NOT(AND(J403="",L403="")),IF(OR(AND(L403&lt;&gt;"",NOT(ISNUMBER(L403))),IFERROR(MOD(L403,1),1)&gt;0,AND(ISNUMBER(L403),OR(L403&lt;0,L403&gt;95))),"Введите целое число от 0 до 95",IF(OR(AND(J403&lt;&gt;"",NOT(ISNUMBER(J403))),IFERROR(MOD(J403,1),1)&gt;0,AND(ISNUMBER(J403),OR(J403&lt;50,J403&gt;20000000))),"Введите целое число от 50 до 20000000",IF(NOT(ABS(IFERROR(VALUE(LEFT(M403,FIND("-",M403)-1)),M403)*100-(2500+2000000000)/2)&lt;=ABS(2500-2000000000)/2),"Цена со скидкой должна быть от 25 до 20000000",IF(IFERROR(VALUE(LEFT(M403,FIND("-",M403)-1)),M403)*160&lt;269999,"Вы уменьшили цену в несколько раз, товар попадет в карантин цен",IF(AND(IFERROR(VALUE(I403),0)=0,ISNUMBER(J403),OR(J403&lt;320,ABS(IFERROR(VALUE(LEFT(M403,FIND("-",M403)-1)),M403))*100&lt;32000)),"Проверьте цену товара. Большинство товаров в выбранной категории стоят дороже 320",""))))),"")</f>
      </c>
    </row>
    <row r="404">
      <c r="A404" s="2" t="inlineStr">
        <is>
          <t/>
        </is>
      </c>
      <c r="B404" s="2" t="inlineStr">
        <is>
          <t>Аксессуары для оружия</t>
        </is>
      </c>
      <c r="C404" s="2">
        <v>453993291</v>
      </c>
      <c r="D404" s="2" t="inlineStr">
        <is>
          <t>111044</t>
        </is>
      </c>
      <c r="E404" s="2" t="inlineStr">
        <is>
          <t>2044635493507</t>
        </is>
      </c>
      <c r="F404" s="2">
        <v>0</v>
      </c>
      <c r="G404" s="2">
        <v>0</v>
      </c>
      <c r="H404" s="2">
        <v>1</v>
      </c>
      <c r="I404" s="2" t="inlineStr">
        <is>
          <t>2000</t>
        </is>
      </c>
      <c r="J404" s="4"/>
      <c r="K404" s="2">
        <v>55</v>
      </c>
      <c r="L404" s="6"/>
      <c r="M404" s="2" t="str">
        <f>IF(J404="",ROUND(I404*(1-IF(ISBLANK(L404),K404,L404)/100),2),ROUND(J404*(1-IF(ISBLANK(L404),K404,L404)/100),2))</f>
      </c>
      <c r="N404" s="7" t="str">
        <f>IF(NOT(AND(J404="",L404="")),IF(OR(AND(L404&lt;&gt;"",NOT(ISNUMBER(L404))),IFERROR(MOD(L404,1),1)&gt;0,AND(ISNUMBER(L404),OR(L404&lt;0,L404&gt;95))),"Введите целое число от 0 до 95",IF(OR(AND(J404&lt;&gt;"",NOT(ISNUMBER(J404))),IFERROR(MOD(J404,1),1)&gt;0,AND(ISNUMBER(J404),OR(J404&lt;50,J404&gt;20000000))),"Введите целое число от 50 до 20000000",IF(NOT(ABS(IFERROR(VALUE(LEFT(M404,FIND("-",M404)-1)),M404)*100-(2500+2000000000)/2)&lt;=ABS(2500-2000000000)/2),"Цена со скидкой должна быть от 25 до 20000000",IF(IFERROR(VALUE(LEFT(M404,FIND("-",M404)-1)),M404)*160&lt;89999,"Вы уменьшили цену в несколько раз, товар попадет в карантин цен",IF(AND(IFERROR(VALUE(I404),0)=0,ISNUMBER(J404),OR(J404&lt;292,ABS(IFERROR(VALUE(LEFT(M404,FIND("-",M404)-1)),M404))*100&lt;29200)),"Проверьте цену товара. Большинство товаров в выбранной категории стоят дороже 292",""))))),"")</f>
      </c>
    </row>
    <row r="405">
      <c r="A405" s="2" t="inlineStr">
        <is>
          <t/>
        </is>
      </c>
      <c r="B405" s="2" t="inlineStr">
        <is>
          <t>Аксессуары для оружия</t>
        </is>
      </c>
      <c r="C405" s="2">
        <v>456355684</v>
      </c>
      <c r="D405" s="2" t="inlineStr">
        <is>
          <t>111048</t>
        </is>
      </c>
      <c r="E405" s="2" t="inlineStr">
        <is>
          <t>2044666305503</t>
        </is>
      </c>
      <c r="F405" s="2">
        <v>0</v>
      </c>
      <c r="G405" s="2">
        <v>0</v>
      </c>
      <c r="H405" s="2" t="inlineStr">
        <is>
          <t/>
        </is>
      </c>
      <c r="I405" s="2" t="inlineStr">
        <is>
          <t>2000</t>
        </is>
      </c>
      <c r="J405" s="4"/>
      <c r="K405" s="2">
        <v>55</v>
      </c>
      <c r="L405" s="6"/>
      <c r="M405" s="2" t="str">
        <f>IF(J405="",ROUND(I405*(1-IF(ISBLANK(L405),K405,L405)/100),2),ROUND(J405*(1-IF(ISBLANK(L405),K405,L405)/100),2))</f>
      </c>
      <c r="N405" s="7" t="str">
        <f>IF(NOT(AND(J405="",L405="")),IF(OR(AND(L405&lt;&gt;"",NOT(ISNUMBER(L405))),IFERROR(MOD(L405,1),1)&gt;0,AND(ISNUMBER(L405),OR(L405&lt;0,L405&gt;95))),"Введите целое число от 0 до 95",IF(OR(AND(J405&lt;&gt;"",NOT(ISNUMBER(J405))),IFERROR(MOD(J405,1),1)&gt;0,AND(ISNUMBER(J405),OR(J405&lt;50,J405&gt;20000000))),"Введите целое число от 50 до 20000000",IF(NOT(ABS(IFERROR(VALUE(LEFT(M405,FIND("-",M405)-1)),M405)*100-(2500+2000000000)/2)&lt;=ABS(2500-2000000000)/2),"Цена со скидкой должна быть от 25 до 20000000",IF(IFERROR(VALUE(LEFT(M405,FIND("-",M405)-1)),M405)*160&lt;89999,"Вы уменьшили цену в несколько раз, товар попадет в карантин цен",IF(AND(IFERROR(VALUE(I405),0)=0,ISNUMBER(J405),OR(J405&lt;292,ABS(IFERROR(VALUE(LEFT(M405,FIND("-",M405)-1)),M405))*100&lt;29200)),"Проверьте цену товара. Большинство товаров в выбранной категории стоят дороже 292",""))))),"")</f>
      </c>
    </row>
    <row r="406">
      <c r="A406" s="2" t="inlineStr">
        <is>
          <t/>
        </is>
      </c>
      <c r="B406" s="2" t="inlineStr">
        <is>
          <t>Аксессуары для оружия</t>
        </is>
      </c>
      <c r="C406" s="2">
        <v>476381352</v>
      </c>
      <c r="D406" s="2" t="inlineStr">
        <is>
          <t>111063</t>
        </is>
      </c>
      <c r="E406" s="2" t="inlineStr">
        <is>
          <t>2045004532469</t>
        </is>
      </c>
      <c r="F406" s="2">
        <v>0</v>
      </c>
      <c r="G406" s="2">
        <v>0</v>
      </c>
      <c r="H406" s="2" t="inlineStr">
        <is>
          <t/>
        </is>
      </c>
      <c r="I406" s="2" t="inlineStr">
        <is>
          <t>2600</t>
        </is>
      </c>
      <c r="J406" s="4"/>
      <c r="K406" s="2">
        <v>55</v>
      </c>
      <c r="L406" s="6"/>
      <c r="M406" s="2" t="str">
        <f>IF(J406="",ROUND(I406*(1-IF(ISBLANK(L406),K406,L406)/100),2),ROUND(J406*(1-IF(ISBLANK(L406),K406,L406)/100),2))</f>
      </c>
      <c r="N406" s="7" t="str">
        <f>IF(NOT(AND(J406="",L406="")),IF(OR(AND(L406&lt;&gt;"",NOT(ISNUMBER(L406))),IFERROR(MOD(L406,1),1)&gt;0,AND(ISNUMBER(L406),OR(L406&lt;0,L406&gt;95))),"Введите целое число от 0 до 95",IF(OR(AND(J406&lt;&gt;"",NOT(ISNUMBER(J406))),IFERROR(MOD(J406,1),1)&gt;0,AND(ISNUMBER(J406),OR(J406&lt;50,J406&gt;20000000))),"Введите целое число от 50 до 20000000",IF(NOT(ABS(IFERROR(VALUE(LEFT(M406,FIND("-",M406)-1)),M406)*100-(2500+2000000000)/2)&lt;=ABS(2500-2000000000)/2),"Цена со скидкой должна быть от 25 до 20000000",IF(IFERROR(VALUE(LEFT(M406,FIND("-",M406)-1)),M406)*160&lt;116999,"Вы уменьшили цену в несколько раз, товар попадет в карантин цен",IF(AND(IFERROR(VALUE(I406),0)=0,ISNUMBER(J406),OR(J406&lt;292,ABS(IFERROR(VALUE(LEFT(M406,FIND("-",M406)-1)),M406))*100&lt;29200)),"Проверьте цену товара. Большинство товаров в выбранной категории стоят дороже 292",""))))),"")</f>
      </c>
    </row>
    <row r="407">
      <c r="A407" s="2" t="inlineStr">
        <is>
          <t/>
        </is>
      </c>
      <c r="B407" s="2" t="inlineStr">
        <is>
          <t>Аксессуары для оружия</t>
        </is>
      </c>
      <c r="C407" s="2">
        <v>456355685</v>
      </c>
      <c r="D407" s="2" t="inlineStr">
        <is>
          <t>111049</t>
        </is>
      </c>
      <c r="E407" s="2" t="inlineStr">
        <is>
          <t>2044666322586</t>
        </is>
      </c>
      <c r="F407" s="2">
        <v>0</v>
      </c>
      <c r="G407" s="2">
        <v>0</v>
      </c>
      <c r="H407" s="2" t="inlineStr">
        <is>
          <t/>
        </is>
      </c>
      <c r="I407" s="2" t="inlineStr">
        <is>
          <t>2000</t>
        </is>
      </c>
      <c r="J407" s="4"/>
      <c r="K407" s="2">
        <v>55</v>
      </c>
      <c r="L407" s="6"/>
      <c r="M407" s="2" t="str">
        <f>IF(J407="",ROUND(I407*(1-IF(ISBLANK(L407),K407,L407)/100),2),ROUND(J407*(1-IF(ISBLANK(L407),K407,L407)/100),2))</f>
      </c>
      <c r="N407" s="7" t="str">
        <f>IF(NOT(AND(J407="",L407="")),IF(OR(AND(L407&lt;&gt;"",NOT(ISNUMBER(L407))),IFERROR(MOD(L407,1),1)&gt;0,AND(ISNUMBER(L407),OR(L407&lt;0,L407&gt;95))),"Введите целое число от 0 до 95",IF(OR(AND(J407&lt;&gt;"",NOT(ISNUMBER(J407))),IFERROR(MOD(J407,1),1)&gt;0,AND(ISNUMBER(J407),OR(J407&lt;50,J407&gt;20000000))),"Введите целое число от 50 до 20000000",IF(NOT(ABS(IFERROR(VALUE(LEFT(M407,FIND("-",M407)-1)),M407)*100-(2500+2000000000)/2)&lt;=ABS(2500-2000000000)/2),"Цена со скидкой должна быть от 25 до 20000000",IF(IFERROR(VALUE(LEFT(M407,FIND("-",M407)-1)),M407)*160&lt;89999,"Вы уменьшили цену в несколько раз, товар попадет в карантин цен",IF(AND(IFERROR(VALUE(I407),0)=0,ISNUMBER(J407),OR(J407&lt;292,ABS(IFERROR(VALUE(LEFT(M407,FIND("-",M407)-1)),M407))*100&lt;29200)),"Проверьте цену товара. Большинство товаров в выбранной категории стоят дороже 292",""))))),"")</f>
      </c>
    </row>
    <row r="408">
      <c r="A408" s="2" t="inlineStr">
        <is>
          <t/>
        </is>
      </c>
      <c r="B408" s="2" t="inlineStr">
        <is>
          <t>Аксессуары для оружия</t>
        </is>
      </c>
      <c r="C408" s="2">
        <v>458463629</v>
      </c>
      <c r="D408" s="2" t="inlineStr">
        <is>
          <t>111052</t>
        </is>
      </c>
      <c r="E408" s="2" t="inlineStr">
        <is>
          <t>2044702443060</t>
        </is>
      </c>
      <c r="F408" s="2">
        <v>4</v>
      </c>
      <c r="G408" s="2">
        <v>0</v>
      </c>
      <c r="H408" s="2">
        <v>999</v>
      </c>
      <c r="I408" s="2" t="inlineStr">
        <is>
          <t>2000</t>
        </is>
      </c>
      <c r="J408" s="4"/>
      <c r="K408" s="2">
        <v>69</v>
      </c>
      <c r="L408" s="6"/>
      <c r="M408" s="2" t="str">
        <f>IF(J408="",ROUND(I408*(1-IF(ISBLANK(L408),K408,L408)/100),2),ROUND(J408*(1-IF(ISBLANK(L408),K408,L408)/100),2))</f>
      </c>
      <c r="N408" s="7" t="str">
        <f>IF(NOT(AND(J408="",L408="")),IF(OR(AND(L408&lt;&gt;"",NOT(ISNUMBER(L408))),IFERROR(MOD(L408,1),1)&gt;0,AND(ISNUMBER(L408),OR(L408&lt;0,L408&gt;95))),"Введите целое число от 0 до 95",IF(OR(AND(J408&lt;&gt;"",NOT(ISNUMBER(J408))),IFERROR(MOD(J408,1),1)&gt;0,AND(ISNUMBER(J408),OR(J408&lt;50,J408&gt;20000000))),"Введите целое число от 50 до 20000000",IF(NOT(ABS(IFERROR(VALUE(LEFT(M408,FIND("-",M408)-1)),M408)*100-(2500+2000000000)/2)&lt;=ABS(2500-2000000000)/2),"Цена со скидкой должна быть от 25 до 20000000",IF(IFERROR(VALUE(LEFT(M408,FIND("-",M408)-1)),M408)*160&lt;62000,"Вы уменьшили цену в несколько раз, товар попадет в карантин цен",IF(AND(IFERROR(VALUE(I408),0)=0,ISNUMBER(J408),OR(J408&lt;292,ABS(IFERROR(VALUE(LEFT(M408,FIND("-",M408)-1)),M408))*100&lt;29200)),"Проверьте цену товара. Большинство товаров в выбранной категории стоят дороже 292",""))))),"")</f>
      </c>
    </row>
    <row r="409">
      <c r="A409" s="2" t="inlineStr">
        <is>
          <t/>
        </is>
      </c>
      <c r="B409" s="2" t="inlineStr">
        <is>
          <t>Аксессуары для оружия</t>
        </is>
      </c>
      <c r="C409" s="2">
        <v>436481942</v>
      </c>
      <c r="D409" s="2" t="inlineStr">
        <is>
          <t>111016</t>
        </is>
      </c>
      <c r="E409" s="2" t="inlineStr">
        <is>
          <t>2044303678694</t>
        </is>
      </c>
      <c r="F409" s="2">
        <v>0</v>
      </c>
      <c r="G409" s="2">
        <v>0</v>
      </c>
      <c r="H409" s="2">
        <v>1</v>
      </c>
      <c r="I409" s="2" t="inlineStr">
        <is>
          <t>1500</t>
        </is>
      </c>
      <c r="J409" s="4"/>
      <c r="K409" s="2">
        <v>55</v>
      </c>
      <c r="L409" s="6"/>
      <c r="M409" s="2" t="str">
        <f>IF(J409="",ROUND(I409*(1-IF(ISBLANK(L409),K409,L409)/100),2),ROUND(J409*(1-IF(ISBLANK(L409),K409,L409)/100),2))</f>
      </c>
      <c r="N409" s="7" t="str">
        <f>IF(NOT(AND(J409="",L409="")),IF(OR(AND(L409&lt;&gt;"",NOT(ISNUMBER(L409))),IFERROR(MOD(L409,1),1)&gt;0,AND(ISNUMBER(L409),OR(L409&lt;0,L409&gt;95))),"Введите целое число от 0 до 95",IF(OR(AND(J409&lt;&gt;"",NOT(ISNUMBER(J409))),IFERROR(MOD(J409,1),1)&gt;0,AND(ISNUMBER(J409),OR(J409&lt;50,J409&gt;20000000))),"Введите целое число от 50 до 20000000",IF(NOT(ABS(IFERROR(VALUE(LEFT(M409,FIND("-",M409)-1)),M409)*100-(2500+2000000000)/2)&lt;=ABS(2500-2000000000)/2),"Цена со скидкой должна быть от 25 до 20000000",IF(IFERROR(VALUE(LEFT(M409,FIND("-",M409)-1)),M409)*160&lt;67499,"Вы уменьшили цену в несколько раз, товар попадет в карантин цен",IF(AND(IFERROR(VALUE(I409),0)=0,ISNUMBER(J409),OR(J409&lt;292,ABS(IFERROR(VALUE(LEFT(M409,FIND("-",M409)-1)),M409))*100&lt;29200)),"Проверьте цену товара. Большинство товаров в выбранной категории стоят дороже 292",""))))),"")</f>
      </c>
    </row>
    <row r="410">
      <c r="A410" s="2" t="inlineStr">
        <is>
          <t/>
        </is>
      </c>
      <c r="B410" s="2" t="inlineStr">
        <is>
          <t>Коврики туристические</t>
        </is>
      </c>
      <c r="C410" s="2">
        <v>436472733</v>
      </c>
      <c r="D410" s="2" t="inlineStr">
        <is>
          <t>111024</t>
        </is>
      </c>
      <c r="E410" s="2" t="inlineStr">
        <is>
          <t>2044303498261</t>
        </is>
      </c>
      <c r="F410" s="2">
        <v>0</v>
      </c>
      <c r="G410" s="2">
        <v>0</v>
      </c>
      <c r="H410" s="2" t="inlineStr">
        <is>
          <t/>
        </is>
      </c>
      <c r="I410" s="2" t="inlineStr">
        <is>
          <t>6000</t>
        </is>
      </c>
      <c r="J410" s="4"/>
      <c r="K410" s="2">
        <v>55</v>
      </c>
      <c r="L410" s="6"/>
      <c r="M410" s="2" t="str">
        <f>IF(J410="",ROUND(I410*(1-IF(ISBLANK(L410),K410,L410)/100),2),ROUND(J410*(1-IF(ISBLANK(L410),K410,L410)/100),2))</f>
      </c>
      <c r="N410" s="7" t="str">
        <f>IF(NOT(AND(J410="",L410="")),IF(OR(AND(L410&lt;&gt;"",NOT(ISNUMBER(L410))),IFERROR(MOD(L410,1),1)&gt;0,AND(ISNUMBER(L410),OR(L410&lt;0,L410&gt;95))),"Введите целое число от 0 до 95",IF(OR(AND(J410&lt;&gt;"",NOT(ISNUMBER(J410))),IFERROR(MOD(J410,1),1)&gt;0,AND(ISNUMBER(J410),OR(J410&lt;50,J410&gt;20000000))),"Введите целое число от 50 до 20000000",IF(NOT(ABS(IFERROR(VALUE(LEFT(M410,FIND("-",M410)-1)),M410)*100-(2500+2000000000)/2)&lt;=ABS(2500-2000000000)/2),"Цена со скидкой должна быть от 25 до 20000000",IF(IFERROR(VALUE(LEFT(M410,FIND("-",M410)-1)),M410)*160&lt;269999,"Вы уменьшили цену в несколько раз, товар попадет в карантин цен",IF(AND(IFERROR(VALUE(I410),0)=0,ISNUMBER(J410),OR(J410&lt;320,ABS(IFERROR(VALUE(LEFT(M410,FIND("-",M410)-1)),M410))*100&lt;32000)),"Проверьте цену товара. Большинство товаров в выбранной категории стоят дороже 320",""))))),"")</f>
      </c>
    </row>
    <row r="411">
      <c r="A411" s="2" t="inlineStr">
        <is>
          <t/>
        </is>
      </c>
      <c r="B411" s="2" t="inlineStr">
        <is>
          <t>Аксессуары для оружия</t>
        </is>
      </c>
      <c r="C411" s="2">
        <v>456355686</v>
      </c>
      <c r="D411" s="2" t="inlineStr">
        <is>
          <t>111050</t>
        </is>
      </c>
      <c r="E411" s="2" t="inlineStr">
        <is>
          <t>2044666322296</t>
        </is>
      </c>
      <c r="F411" s="2">
        <v>0</v>
      </c>
      <c r="G411" s="2">
        <v>0</v>
      </c>
      <c r="H411" s="2" t="inlineStr">
        <is>
          <t/>
        </is>
      </c>
      <c r="I411" s="2" t="inlineStr">
        <is>
          <t>2000</t>
        </is>
      </c>
      <c r="J411" s="4"/>
      <c r="K411" s="2">
        <v>55</v>
      </c>
      <c r="L411" s="6"/>
      <c r="M411" s="2" t="str">
        <f>IF(J411="",ROUND(I411*(1-IF(ISBLANK(L411),K411,L411)/100),2),ROUND(J411*(1-IF(ISBLANK(L411),K411,L411)/100),2))</f>
      </c>
      <c r="N411" s="7" t="str">
        <f>IF(NOT(AND(J411="",L411="")),IF(OR(AND(L411&lt;&gt;"",NOT(ISNUMBER(L411))),IFERROR(MOD(L411,1),1)&gt;0,AND(ISNUMBER(L411),OR(L411&lt;0,L411&gt;95))),"Введите целое число от 0 до 95",IF(OR(AND(J411&lt;&gt;"",NOT(ISNUMBER(J411))),IFERROR(MOD(J411,1),1)&gt;0,AND(ISNUMBER(J411),OR(J411&lt;50,J411&gt;20000000))),"Введите целое число от 50 до 20000000",IF(NOT(ABS(IFERROR(VALUE(LEFT(M411,FIND("-",M411)-1)),M411)*100-(2500+2000000000)/2)&lt;=ABS(2500-2000000000)/2),"Цена со скидкой должна быть от 25 до 20000000",IF(IFERROR(VALUE(LEFT(M411,FIND("-",M411)-1)),M411)*160&lt;89999,"Вы уменьшили цену в несколько раз, товар попадет в карантин цен",IF(AND(IFERROR(VALUE(I411),0)=0,ISNUMBER(J411),OR(J411&lt;292,ABS(IFERROR(VALUE(LEFT(M411,FIND("-",M411)-1)),M411))*100&lt;29200)),"Проверьте цену товара. Большинство товаров в выбранной категории стоят дороже 292",""))))),"")</f>
      </c>
    </row>
    <row r="412">
      <c r="A412" s="2" t="inlineStr">
        <is>
          <t/>
        </is>
      </c>
      <c r="B412" s="2" t="inlineStr">
        <is>
          <t>Подшивы</t>
        </is>
      </c>
      <c r="C412" s="2">
        <v>448971317</v>
      </c>
      <c r="D412" s="2" t="inlineStr">
        <is>
          <t>111035</t>
        </is>
      </c>
      <c r="E412" s="2" t="inlineStr">
        <is>
          <t>2044522215588</t>
        </is>
      </c>
      <c r="F412" s="2">
        <v>0</v>
      </c>
      <c r="G412" s="2">
        <v>0</v>
      </c>
      <c r="H412" s="2">
        <v>1</v>
      </c>
      <c r="I412" s="2" t="inlineStr">
        <is>
          <t>600</t>
        </is>
      </c>
      <c r="J412" s="4"/>
      <c r="K412" s="2">
        <v>55</v>
      </c>
      <c r="L412" s="6"/>
      <c r="M412" s="2" t="str">
        <f>IF(J412="",ROUND(I412*(1-IF(ISBLANK(L412),K412,L412)/100),2),ROUND(J412*(1-IF(ISBLANK(L412),K412,L412)/100),2))</f>
      </c>
      <c r="N412" s="7" t="str">
        <f>IF(NOT(AND(J412="",L412="")),IF(OR(AND(L412&lt;&gt;"",NOT(ISNUMBER(L412))),IFERROR(MOD(L412,1),1)&gt;0,AND(ISNUMBER(L412),OR(L412&lt;0,L412&gt;95))),"Введите целое число от 0 до 95",IF(OR(AND(J412&lt;&gt;"",NOT(ISNUMBER(J412))),IFERROR(MOD(J412,1),1)&gt;0,AND(ISNUMBER(J412),OR(J412&lt;50,J412&gt;20000000))),"Введите целое число от 50 до 20000000",IF(NOT(ABS(IFERROR(VALUE(LEFT(M412,FIND("-",M412)-1)),M412)*100-(2500+2000000000)/2)&lt;=ABS(2500-2000000000)/2),"Цена со скидкой должна быть от 25 до 20000000",IF(IFERROR(VALUE(LEFT(M412,FIND("-",M412)-1)),M412)*190&lt;27000,"Вы уменьшили цену в несколько раз, товар попадет в карантин цен",IF(AND(IFERROR(VALUE(I412),0)=0,ISNUMBER(J412),OR(J412&lt;195,ABS(IFERROR(VALUE(LEFT(M412,FIND("-",M412)-1)),M412))*100&lt;19500)),"Проверьте цену товара. Большинство товаров в выбранной категории стоят дороже 195",""))))),"")</f>
      </c>
    </row>
    <row r="413">
      <c r="A413" s="2" t="inlineStr">
        <is>
          <t/>
        </is>
      </c>
      <c r="B413" s="2" t="inlineStr">
        <is>
          <t>Подшивы</t>
        </is>
      </c>
      <c r="C413" s="2">
        <v>448971318</v>
      </c>
      <c r="D413" s="2" t="inlineStr">
        <is>
          <t>111036</t>
        </is>
      </c>
      <c r="E413" s="2" t="inlineStr">
        <is>
          <t>2044522236842</t>
        </is>
      </c>
      <c r="F413" s="2">
        <v>0</v>
      </c>
      <c r="G413" s="2">
        <v>0</v>
      </c>
      <c r="H413" s="2">
        <v>1</v>
      </c>
      <c r="I413" s="2" t="inlineStr">
        <is>
          <t>1200</t>
        </is>
      </c>
      <c r="J413" s="4"/>
      <c r="K413" s="2">
        <v>55</v>
      </c>
      <c r="L413" s="6"/>
      <c r="M413" s="2" t="str">
        <f>IF(J413="",ROUND(I413*(1-IF(ISBLANK(L413),K413,L413)/100),2),ROUND(J413*(1-IF(ISBLANK(L413),K413,L413)/100),2))</f>
      </c>
      <c r="N413" s="7" t="str">
        <f>IF(NOT(AND(J413="",L413="")),IF(OR(AND(L413&lt;&gt;"",NOT(ISNUMBER(L413))),IFERROR(MOD(L413,1),1)&gt;0,AND(ISNUMBER(L413),OR(L413&lt;0,L413&gt;95))),"Введите целое число от 0 до 95",IF(OR(AND(J413&lt;&gt;"",NOT(ISNUMBER(J413))),IFERROR(MOD(J413,1),1)&gt;0,AND(ISNUMBER(J413),OR(J413&lt;50,J413&gt;20000000))),"Введите целое число от 50 до 20000000",IF(NOT(ABS(IFERROR(VALUE(LEFT(M413,FIND("-",M413)-1)),M413)*100-(2500+2000000000)/2)&lt;=ABS(2500-2000000000)/2),"Цена со скидкой должна быть от 25 до 20000000",IF(IFERROR(VALUE(LEFT(M413,FIND("-",M413)-1)),M413)*190&lt;54000,"Вы уменьшили цену в несколько раз, товар попадет в карантин цен",IF(AND(IFERROR(VALUE(I413),0)=0,ISNUMBER(J413),OR(J413&lt;195,ABS(IFERROR(VALUE(LEFT(M413,FIND("-",M413)-1)),M413))*100&lt;19500)),"Проверьте цену товара. Большинство товаров в выбранной категории стоят дороже 195",""))))),"")</f>
      </c>
    </row>
    <row r="414">
      <c r="A414" s="2" t="inlineStr">
        <is>
          <t/>
        </is>
      </c>
      <c r="B414" s="2" t="inlineStr">
        <is>
          <t>Сумки спортивные</t>
        </is>
      </c>
      <c r="C414" s="2">
        <v>448959551</v>
      </c>
      <c r="D414" s="2" t="inlineStr">
        <is>
          <t>111034</t>
        </is>
      </c>
      <c r="E414" s="2" t="inlineStr">
        <is>
          <t>2044522088274</t>
        </is>
      </c>
      <c r="F414" s="2">
        <v>0</v>
      </c>
      <c r="G414" s="2">
        <v>0</v>
      </c>
      <c r="H414" s="2">
        <v>1</v>
      </c>
      <c r="I414" s="2" t="inlineStr">
        <is>
          <t>2000</t>
        </is>
      </c>
      <c r="J414" s="4"/>
      <c r="K414" s="2">
        <v>55</v>
      </c>
      <c r="L414" s="6"/>
      <c r="M414" s="2" t="str">
        <f>IF(J414="",ROUND(I414*(1-IF(ISBLANK(L414),K414,L414)/100),2),ROUND(J414*(1-IF(ISBLANK(L414),K414,L414)/100),2))</f>
      </c>
      <c r="N414" s="7" t="str">
        <f>IF(NOT(AND(J414="",L414="")),IF(OR(AND(L414&lt;&gt;"",NOT(ISNUMBER(L414))),IFERROR(MOD(L414,1),1)&gt;0,AND(ISNUMBER(L414),OR(L414&lt;0,L414&gt;95))),"Введите целое число от 0 до 95",IF(OR(AND(J414&lt;&gt;"",NOT(ISNUMBER(J414))),IFERROR(MOD(J414,1),1)&gt;0,AND(ISNUMBER(J414),OR(J414&lt;50,J414&gt;20000000))),"Введите целое число от 50 до 20000000",IF(NOT(ABS(IFERROR(VALUE(LEFT(M414,FIND("-",M414)-1)),M414)*100-(2500+2000000000)/2)&lt;=ABS(2500-2000000000)/2),"Цена со скидкой должна быть от 25 до 20000000",IF(IFERROR(VALUE(LEFT(M414,FIND("-",M414)-1)),M414)*200&lt;89999,"Вы уменьшили цену в несколько раз, товар попадет в карантин цен",IF(AND(IFERROR(VALUE(I414),0)=0,ISNUMBER(J414),OR(J414&lt;362,ABS(IFERROR(VALUE(LEFT(M414,FIND("-",M414)-1)),M414))*100&lt;36200)),"Проверьте цену товара. Большинство товаров в выбранной категории стоят дороже 362",""))))),"")</f>
      </c>
    </row>
    <row r="415">
      <c r="A415" s="2" t="inlineStr">
        <is>
          <t/>
        </is>
      </c>
      <c r="B415" s="2" t="inlineStr">
        <is>
          <t>Сумки спортивные</t>
        </is>
      </c>
      <c r="C415" s="2">
        <v>448959552</v>
      </c>
      <c r="D415" s="2" t="inlineStr">
        <is>
          <t>111033</t>
        </is>
      </c>
      <c r="E415" s="2" t="inlineStr">
        <is>
          <t>2044522088021</t>
        </is>
      </c>
      <c r="F415" s="2">
        <v>0</v>
      </c>
      <c r="G415" s="2">
        <v>0</v>
      </c>
      <c r="H415" s="2">
        <v>1</v>
      </c>
      <c r="I415" s="2" t="inlineStr">
        <is>
          <t>2000</t>
        </is>
      </c>
      <c r="J415" s="4"/>
      <c r="K415" s="2">
        <v>55</v>
      </c>
      <c r="L415" s="6"/>
      <c r="M415" s="2" t="str">
        <f>IF(J415="",ROUND(I415*(1-IF(ISBLANK(L415),K415,L415)/100),2),ROUND(J415*(1-IF(ISBLANK(L415),K415,L415)/100),2))</f>
      </c>
      <c r="N415" s="7" t="str">
        <f>IF(NOT(AND(J415="",L415="")),IF(OR(AND(L415&lt;&gt;"",NOT(ISNUMBER(L415))),IFERROR(MOD(L415,1),1)&gt;0,AND(ISNUMBER(L415),OR(L415&lt;0,L415&gt;95))),"Введите целое число от 0 до 95",IF(OR(AND(J415&lt;&gt;"",NOT(ISNUMBER(J415))),IFERROR(MOD(J415,1),1)&gt;0,AND(ISNUMBER(J415),OR(J415&lt;50,J415&gt;20000000))),"Введите целое число от 50 до 20000000",IF(NOT(ABS(IFERROR(VALUE(LEFT(M415,FIND("-",M415)-1)),M415)*100-(2500+2000000000)/2)&lt;=ABS(2500-2000000000)/2),"Цена со скидкой должна быть от 25 до 20000000",IF(IFERROR(VALUE(LEFT(M415,FIND("-",M415)-1)),M415)*200&lt;89999,"Вы уменьшили цену в несколько раз, товар попадет в карантин цен",IF(AND(IFERROR(VALUE(I415),0)=0,ISNUMBER(J415),OR(J415&lt;362,ABS(IFERROR(VALUE(LEFT(M415,FIND("-",M415)-1)),M415))*100&lt;36200)),"Проверьте цену товара. Большинство товаров в выбранной категории стоят дороже 362",""))))),"")</f>
      </c>
    </row>
    <row r="416">
      <c r="A416" s="2" t="inlineStr">
        <is>
          <t/>
        </is>
      </c>
      <c r="B416" s="2" t="inlineStr">
        <is>
          <t>Головные уборы рабочие</t>
        </is>
      </c>
      <c r="C416" s="2">
        <v>436540672</v>
      </c>
      <c r="D416" s="2" t="inlineStr">
        <is>
          <t>111011</t>
        </is>
      </c>
      <c r="E416" s="2" t="inlineStr">
        <is>
          <t>2044304487592</t>
        </is>
      </c>
      <c r="F416" s="2">
        <v>0</v>
      </c>
      <c r="G416" s="2">
        <v>0</v>
      </c>
      <c r="H416" s="2">
        <v>999</v>
      </c>
      <c r="I416" s="2" t="inlineStr">
        <is>
          <t>1600</t>
        </is>
      </c>
      <c r="J416" s="4"/>
      <c r="K416" s="2">
        <v>55</v>
      </c>
      <c r="L416" s="6"/>
      <c r="M416" s="2" t="str">
        <f>IF(J416="",ROUND(I416*(1-IF(ISBLANK(L416),K416,L416)/100),2),ROUND(J416*(1-IF(ISBLANK(L416),K416,L416)/100),2))</f>
      </c>
      <c r="N416" s="7" t="str">
        <f>IF(NOT(AND(J416="",L416="")),IF(OR(AND(L416&lt;&gt;"",NOT(ISNUMBER(L416))),IFERROR(MOD(L416,1),1)&gt;0,AND(ISNUMBER(L416),OR(L416&lt;0,L416&gt;95))),"Введите целое число от 0 до 95",IF(OR(AND(J416&lt;&gt;"",NOT(ISNUMBER(J416))),IFERROR(MOD(J416,1),1)&gt;0,AND(ISNUMBER(J416),OR(J416&lt;50,J416&gt;20000000))),"Введите целое число от 50 до 20000000",IF(NOT(ABS(IFERROR(VALUE(LEFT(M416,FIND("-",M416)-1)),M416)*100-(2500+2000000000)/2)&lt;=ABS(2500-2000000000)/2),"Цена со скидкой должна быть от 25 до 20000000",IF(IFERROR(VALUE(LEFT(M416,FIND("-",M416)-1)),M416)*200&lt;71999,"Вы уменьшили цену в несколько раз, товар попадет в карантин цен",IF(AND(IFERROR(VALUE(I416),0)=0,ISNUMBER(J416),OR(J416&lt;402,ABS(IFERROR(VALUE(LEFT(M416,FIND("-",M416)-1)),M416))*100&lt;40200)),"Проверьте цену товара. Большинство товаров в выбранной категории стоят дороже 402",""))))),"")</f>
      </c>
    </row>
    <row r="417">
      <c r="A417" s="2" t="inlineStr">
        <is>
          <t/>
        </is>
      </c>
      <c r="B417" s="2" t="inlineStr">
        <is>
          <t>Головные уборы рабочие</t>
        </is>
      </c>
      <c r="C417" s="2">
        <v>436547000</v>
      </c>
      <c r="D417" s="2" t="inlineStr">
        <is>
          <t>111013</t>
        </is>
      </c>
      <c r="E417" s="2" t="inlineStr">
        <is>
          <t>2044304544295</t>
        </is>
      </c>
      <c r="F417" s="2" t="inlineStr">
        <is>
          <t/>
        </is>
      </c>
      <c r="G417" s="2" t="inlineStr">
        <is>
          <t/>
        </is>
      </c>
      <c r="H417" s="2" t="inlineStr">
        <is>
          <t/>
        </is>
      </c>
      <c r="I417" s="2" t="inlineStr">
        <is>
          <t>1000</t>
        </is>
      </c>
      <c r="J417" s="4"/>
      <c r="K417" s="2">
        <v>55</v>
      </c>
      <c r="L417" s="6"/>
      <c r="M417" s="2" t="str">
        <f>IF(J417="",ROUND(I417*(1-IF(ISBLANK(L417),K417,L417)/100),2),ROUND(J417*(1-IF(ISBLANK(L417),K417,L417)/100),2))</f>
      </c>
      <c r="N417" s="7" t="str">
        <f>IF(NOT(AND(J417="",L417="")),IF(OR(AND(L417&lt;&gt;"",NOT(ISNUMBER(L417))),IFERROR(MOD(L417,1),1)&gt;0,AND(ISNUMBER(L417),OR(L417&lt;0,L417&gt;95))),"Введите целое число от 0 до 95",IF(OR(AND(J417&lt;&gt;"",NOT(ISNUMBER(J417))),IFERROR(MOD(J417,1),1)&gt;0,AND(ISNUMBER(J417),OR(J417&lt;50,J417&gt;20000000))),"Введите целое число от 50 до 20000000",IF(NOT(ABS(IFERROR(VALUE(LEFT(M417,FIND("-",M417)-1)),M417)*100-(2500+2000000000)/2)&lt;=ABS(2500-2000000000)/2),"Цена со скидкой должна быть от 25 до 20000000",IF(IFERROR(VALUE(LEFT(M417,FIND("-",M417)-1)),M417)*200&lt;44999,"Вы уменьшили цену в несколько раз, товар попадет в карантин цен",IF(AND(IFERROR(VALUE(I417),0)=0,ISNUMBER(J417),OR(J417&lt;402,ABS(IFERROR(VALUE(LEFT(M417,FIND("-",M417)-1)),M417))*100&lt;40200)),"Проверьте цену товара. Большинство товаров в выбранной категории стоят дороже 402",""))))),"")</f>
      </c>
    </row>
    <row r="418">
      <c r="A418" s="2" t="inlineStr">
        <is>
          <t/>
        </is>
      </c>
      <c r="B418" s="2" t="inlineStr">
        <is>
          <t>Головные уборы рабочие</t>
        </is>
      </c>
      <c r="C418" s="2">
        <v>436547002</v>
      </c>
      <c r="D418" s="2" t="inlineStr">
        <is>
          <t>111015</t>
        </is>
      </c>
      <c r="E418" s="2" t="inlineStr">
        <is>
          <t>2044304547500</t>
        </is>
      </c>
      <c r="F418" s="2">
        <v>0</v>
      </c>
      <c r="G418" s="2">
        <v>0</v>
      </c>
      <c r="H418" s="2">
        <v>1</v>
      </c>
      <c r="I418" s="2" t="inlineStr">
        <is>
          <t>1600</t>
        </is>
      </c>
      <c r="J418" s="4"/>
      <c r="K418" s="2">
        <v>55</v>
      </c>
      <c r="L418" s="6"/>
      <c r="M418" s="2" t="str">
        <f>IF(J418="",ROUND(I418*(1-IF(ISBLANK(L418),K418,L418)/100),2),ROUND(J418*(1-IF(ISBLANK(L418),K418,L418)/100),2))</f>
      </c>
      <c r="N418" s="7" t="str">
        <f>IF(NOT(AND(J418="",L418="")),IF(OR(AND(L418&lt;&gt;"",NOT(ISNUMBER(L418))),IFERROR(MOD(L418,1),1)&gt;0,AND(ISNUMBER(L418),OR(L418&lt;0,L418&gt;95))),"Введите целое число от 0 до 95",IF(OR(AND(J418&lt;&gt;"",NOT(ISNUMBER(J418))),IFERROR(MOD(J418,1),1)&gt;0,AND(ISNUMBER(J418),OR(J418&lt;50,J418&gt;20000000))),"Введите целое число от 50 до 20000000",IF(NOT(ABS(IFERROR(VALUE(LEFT(M418,FIND("-",M418)-1)),M418)*100-(2500+2000000000)/2)&lt;=ABS(2500-2000000000)/2),"Цена со скидкой должна быть от 25 до 20000000",IF(IFERROR(VALUE(LEFT(M418,FIND("-",M418)-1)),M418)*200&lt;71999,"Вы уменьшили цену в несколько раз, товар попадет в карантин цен",IF(AND(IFERROR(VALUE(I418),0)=0,ISNUMBER(J418),OR(J418&lt;402,ABS(IFERROR(VALUE(LEFT(M418,FIND("-",M418)-1)),M418))*100&lt;40200)),"Проверьте цену товара. Большинство товаров в выбранной категории стоят дороже 402",""))))),"")</f>
      </c>
    </row>
    <row r="419">
      <c r="A419" s="2" t="inlineStr">
        <is>
          <t/>
        </is>
      </c>
      <c r="B419" s="2" t="inlineStr">
        <is>
          <t>Головные уборы рабочие</t>
        </is>
      </c>
      <c r="C419" s="2">
        <v>436547001</v>
      </c>
      <c r="D419" s="2" t="inlineStr">
        <is>
          <t>111014</t>
        </is>
      </c>
      <c r="E419" s="2" t="inlineStr">
        <is>
          <t>2044304546336</t>
        </is>
      </c>
      <c r="F419" s="2">
        <v>0</v>
      </c>
      <c r="G419" s="2">
        <v>0</v>
      </c>
      <c r="H419" s="2">
        <v>1</v>
      </c>
      <c r="I419" s="2" t="inlineStr">
        <is>
          <t>1600</t>
        </is>
      </c>
      <c r="J419" s="4"/>
      <c r="K419" s="2">
        <v>55</v>
      </c>
      <c r="L419" s="6"/>
      <c r="M419" s="2" t="str">
        <f>IF(J419="",ROUND(I419*(1-IF(ISBLANK(L419),K419,L419)/100),2),ROUND(J419*(1-IF(ISBLANK(L419),K419,L419)/100),2))</f>
      </c>
      <c r="N419" s="7" t="str">
        <f>IF(NOT(AND(J419="",L419="")),IF(OR(AND(L419&lt;&gt;"",NOT(ISNUMBER(L419))),IFERROR(MOD(L419,1),1)&gt;0,AND(ISNUMBER(L419),OR(L419&lt;0,L419&gt;95))),"Введите целое число от 0 до 95",IF(OR(AND(J419&lt;&gt;"",NOT(ISNUMBER(J419))),IFERROR(MOD(J419,1),1)&gt;0,AND(ISNUMBER(J419),OR(J419&lt;50,J419&gt;20000000))),"Введите целое число от 50 до 20000000",IF(NOT(ABS(IFERROR(VALUE(LEFT(M419,FIND("-",M419)-1)),M419)*100-(2500+2000000000)/2)&lt;=ABS(2500-2000000000)/2),"Цена со скидкой должна быть от 25 до 20000000",IF(IFERROR(VALUE(LEFT(M419,FIND("-",M419)-1)),M419)*200&lt;71999,"Вы уменьшили цену в несколько раз, товар попадет в карантин цен",IF(AND(IFERROR(VALUE(I419),0)=0,ISNUMBER(J419),OR(J419&lt;402,ABS(IFERROR(VALUE(LEFT(M419,FIND("-",M419)-1)),M419))*100&lt;40200)),"Проверьте цену товара. Большинство товаров в выбранной категории стоят дороже 402",""))))),"")</f>
      </c>
    </row>
    <row r="420">
      <c r="A420" s="2" t="inlineStr">
        <is>
          <t/>
        </is>
      </c>
      <c r="B420" s="2" t="inlineStr">
        <is>
          <t>Головные уборы рабочие</t>
        </is>
      </c>
      <c r="C420" s="2">
        <v>436535623</v>
      </c>
      <c r="D420" s="2" t="inlineStr">
        <is>
          <t>111010</t>
        </is>
      </c>
      <c r="E420" s="2" t="inlineStr">
        <is>
          <t>2044304426171</t>
        </is>
      </c>
      <c r="F420" s="2" t="inlineStr">
        <is>
          <t/>
        </is>
      </c>
      <c r="G420" s="2" t="inlineStr">
        <is>
          <t/>
        </is>
      </c>
      <c r="H420" s="2" t="inlineStr">
        <is>
          <t/>
        </is>
      </c>
      <c r="I420" s="2" t="inlineStr">
        <is>
          <t>1000</t>
        </is>
      </c>
      <c r="J420" s="4"/>
      <c r="K420" s="2">
        <v>55</v>
      </c>
      <c r="L420" s="6"/>
      <c r="M420" s="2" t="str">
        <f>IF(J420="",ROUND(I420*(1-IF(ISBLANK(L420),K420,L420)/100),2),ROUND(J420*(1-IF(ISBLANK(L420),K420,L420)/100),2))</f>
      </c>
      <c r="N420" s="7" t="str">
        <f>IF(NOT(AND(J420="",L420="")),IF(OR(AND(L420&lt;&gt;"",NOT(ISNUMBER(L420))),IFERROR(MOD(L420,1),1)&gt;0,AND(ISNUMBER(L420),OR(L420&lt;0,L420&gt;95))),"Введите целое число от 0 до 95",IF(OR(AND(J420&lt;&gt;"",NOT(ISNUMBER(J420))),IFERROR(MOD(J420,1),1)&gt;0,AND(ISNUMBER(J420),OR(J420&lt;50,J420&gt;20000000))),"Введите целое число от 50 до 20000000",IF(NOT(ABS(IFERROR(VALUE(LEFT(M420,FIND("-",M420)-1)),M420)*100-(2500+2000000000)/2)&lt;=ABS(2500-2000000000)/2),"Цена со скидкой должна быть от 25 до 20000000",IF(IFERROR(VALUE(LEFT(M420,FIND("-",M420)-1)),M420)*200&lt;44999,"Вы уменьшили цену в несколько раз, товар попадет в карантин цен",IF(AND(IFERROR(VALUE(I420),0)=0,ISNUMBER(J420),OR(J420&lt;402,ABS(IFERROR(VALUE(LEFT(M420,FIND("-",M420)-1)),M420))*100&lt;40200)),"Проверьте цену товара. Большинство товаров в выбранной категории стоят дороже 402",""))))),"")</f>
      </c>
    </row>
    <row r="421">
      <c r="A421" s="2" t="inlineStr">
        <is>
          <t/>
        </is>
      </c>
      <c r="B421" s="2" t="inlineStr">
        <is>
          <t>Головные уборы рабочие</t>
        </is>
      </c>
      <c r="C421" s="2">
        <v>436535621</v>
      </c>
      <c r="D421" s="2" t="inlineStr">
        <is>
          <t>111008</t>
        </is>
      </c>
      <c r="E421" s="2" t="inlineStr">
        <is>
          <t>2044304432820</t>
        </is>
      </c>
      <c r="F421" s="2">
        <v>0</v>
      </c>
      <c r="G421" s="2">
        <v>0</v>
      </c>
      <c r="H421" s="2">
        <v>1</v>
      </c>
      <c r="I421" s="2" t="inlineStr">
        <is>
          <t>1600</t>
        </is>
      </c>
      <c r="J421" s="4"/>
      <c r="K421" s="2">
        <v>55</v>
      </c>
      <c r="L421" s="6"/>
      <c r="M421" s="2" t="str">
        <f>IF(J421="",ROUND(I421*(1-IF(ISBLANK(L421),K421,L421)/100),2),ROUND(J421*(1-IF(ISBLANK(L421),K421,L421)/100),2))</f>
      </c>
      <c r="N421" s="7" t="str">
        <f>IF(NOT(AND(J421="",L421="")),IF(OR(AND(L421&lt;&gt;"",NOT(ISNUMBER(L421))),IFERROR(MOD(L421,1),1)&gt;0,AND(ISNUMBER(L421),OR(L421&lt;0,L421&gt;95))),"Введите целое число от 0 до 95",IF(OR(AND(J421&lt;&gt;"",NOT(ISNUMBER(J421))),IFERROR(MOD(J421,1),1)&gt;0,AND(ISNUMBER(J421),OR(J421&lt;50,J421&gt;20000000))),"Введите целое число от 50 до 20000000",IF(NOT(ABS(IFERROR(VALUE(LEFT(M421,FIND("-",M421)-1)),M421)*100-(2500+2000000000)/2)&lt;=ABS(2500-2000000000)/2),"Цена со скидкой должна быть от 25 до 20000000",IF(IFERROR(VALUE(LEFT(M421,FIND("-",M421)-1)),M421)*200&lt;71999,"Вы уменьшили цену в несколько раз, товар попадет в карантин цен",IF(AND(IFERROR(VALUE(I421),0)=0,ISNUMBER(J421),OR(J421&lt;402,ABS(IFERROR(VALUE(LEFT(M421,FIND("-",M421)-1)),M421))*100&lt;40200)),"Проверьте цену товара. Большинство товаров в выбранной категории стоят дороже 402",""))))),"")</f>
      </c>
    </row>
    <row r="422">
      <c r="A422" s="2" t="inlineStr">
        <is>
          <t/>
        </is>
      </c>
      <c r="B422" s="2" t="inlineStr">
        <is>
          <t>Головные уборы рабочие</t>
        </is>
      </c>
      <c r="C422" s="2">
        <v>436535622</v>
      </c>
      <c r="D422" s="2" t="inlineStr">
        <is>
          <t>111009</t>
        </is>
      </c>
      <c r="E422" s="2" t="inlineStr">
        <is>
          <t>2044304431632</t>
        </is>
      </c>
      <c r="F422" s="2" t="inlineStr">
        <is>
          <t/>
        </is>
      </c>
      <c r="G422" s="2" t="inlineStr">
        <is>
          <t/>
        </is>
      </c>
      <c r="H422" s="2" t="inlineStr">
        <is>
          <t/>
        </is>
      </c>
      <c r="I422" s="2" t="inlineStr">
        <is>
          <t>1000</t>
        </is>
      </c>
      <c r="J422" s="4"/>
      <c r="K422" s="2">
        <v>55</v>
      </c>
      <c r="L422" s="6"/>
      <c r="M422" s="2" t="str">
        <f>IF(J422="",ROUND(I422*(1-IF(ISBLANK(L422),K422,L422)/100),2),ROUND(J422*(1-IF(ISBLANK(L422),K422,L422)/100),2))</f>
      </c>
      <c r="N422" s="7" t="str">
        <f>IF(NOT(AND(J422="",L422="")),IF(OR(AND(L422&lt;&gt;"",NOT(ISNUMBER(L422))),IFERROR(MOD(L422,1),1)&gt;0,AND(ISNUMBER(L422),OR(L422&lt;0,L422&gt;95))),"Введите целое число от 0 до 95",IF(OR(AND(J422&lt;&gt;"",NOT(ISNUMBER(J422))),IFERROR(MOD(J422,1),1)&gt;0,AND(ISNUMBER(J422),OR(J422&lt;50,J422&gt;20000000))),"Введите целое число от 50 до 20000000",IF(NOT(ABS(IFERROR(VALUE(LEFT(M422,FIND("-",M422)-1)),M422)*100-(2500+2000000000)/2)&lt;=ABS(2500-2000000000)/2),"Цена со скидкой должна быть от 25 до 20000000",IF(IFERROR(VALUE(LEFT(M422,FIND("-",M422)-1)),M422)*200&lt;44999,"Вы уменьшили цену в несколько раз, товар попадет в карантин цен",IF(AND(IFERROR(VALUE(I422),0)=0,ISNUMBER(J422),OR(J422&lt;402,ABS(IFERROR(VALUE(LEFT(M422,FIND("-",M422)-1)),M422))*100&lt;40200)),"Проверьте цену товара. Большинство товаров в выбранной категории стоят дороже 402",""))))),"")</f>
      </c>
    </row>
    <row r="423">
      <c r="A423" s="2" t="inlineStr">
        <is>
          <t/>
        </is>
      </c>
      <c r="B423" s="2" t="inlineStr">
        <is>
          <t>Головные уборы рабочие</t>
        </is>
      </c>
      <c r="C423" s="2">
        <v>436535620</v>
      </c>
      <c r="D423" s="2" t="inlineStr">
        <is>
          <t>111007</t>
        </is>
      </c>
      <c r="E423" s="2" t="inlineStr">
        <is>
          <t>2044304410064</t>
        </is>
      </c>
      <c r="F423" s="2" t="inlineStr">
        <is>
          <t/>
        </is>
      </c>
      <c r="G423" s="2" t="inlineStr">
        <is>
          <t/>
        </is>
      </c>
      <c r="H423" s="2" t="inlineStr">
        <is>
          <t/>
        </is>
      </c>
      <c r="I423" s="2" t="inlineStr">
        <is>
          <t>1000</t>
        </is>
      </c>
      <c r="J423" s="4"/>
      <c r="K423" s="2">
        <v>55</v>
      </c>
      <c r="L423" s="6"/>
      <c r="M423" s="2" t="str">
        <f>IF(J423="",ROUND(I423*(1-IF(ISBLANK(L423),K423,L423)/100),2),ROUND(J423*(1-IF(ISBLANK(L423),K423,L423)/100),2))</f>
      </c>
      <c r="N423" s="7" t="str">
        <f>IF(NOT(AND(J423="",L423="")),IF(OR(AND(L423&lt;&gt;"",NOT(ISNUMBER(L423))),IFERROR(MOD(L423,1),1)&gt;0,AND(ISNUMBER(L423),OR(L423&lt;0,L423&gt;95))),"Введите целое число от 0 до 95",IF(OR(AND(J423&lt;&gt;"",NOT(ISNUMBER(J423))),IFERROR(MOD(J423,1),1)&gt;0,AND(ISNUMBER(J423),OR(J423&lt;50,J423&gt;20000000))),"Введите целое число от 50 до 20000000",IF(NOT(ABS(IFERROR(VALUE(LEFT(M423,FIND("-",M423)-1)),M423)*100-(2500+2000000000)/2)&lt;=ABS(2500-2000000000)/2),"Цена со скидкой должна быть от 25 до 20000000",IF(IFERROR(VALUE(LEFT(M423,FIND("-",M423)-1)),M423)*200&lt;44999,"Вы уменьшили цену в несколько раз, товар попадет в карантин цен",IF(AND(IFERROR(VALUE(I423),0)=0,ISNUMBER(J423),OR(J423&lt;402,ABS(IFERROR(VALUE(LEFT(M423,FIND("-",M423)-1)),M423))*100&lt;40200)),"Проверьте цену товара. Большинство товаров в выбранной категории стоят дороже 402",""))))),"")</f>
      </c>
    </row>
    <row r="424">
      <c r="A424" s="2" t="inlineStr">
        <is>
          <t/>
        </is>
      </c>
      <c r="B424" s="2" t="inlineStr">
        <is>
          <t>Головные уборы рабочие</t>
        </is>
      </c>
      <c r="C424" s="2">
        <v>436529676</v>
      </c>
      <c r="D424" s="2" t="inlineStr">
        <is>
          <t>111006</t>
        </is>
      </c>
      <c r="E424" s="2" t="inlineStr">
        <is>
          <t>2044304378586</t>
        </is>
      </c>
      <c r="F424" s="2" t="inlineStr">
        <is>
          <t/>
        </is>
      </c>
      <c r="G424" s="2" t="inlineStr">
        <is>
          <t/>
        </is>
      </c>
      <c r="H424" s="2" t="inlineStr">
        <is>
          <t/>
        </is>
      </c>
      <c r="I424" s="2" t="inlineStr">
        <is>
          <t>1000</t>
        </is>
      </c>
      <c r="J424" s="4"/>
      <c r="K424" s="2">
        <v>55</v>
      </c>
      <c r="L424" s="6"/>
      <c r="M424" s="2" t="str">
        <f>IF(J424="",ROUND(I424*(1-IF(ISBLANK(L424),K424,L424)/100),2),ROUND(J424*(1-IF(ISBLANK(L424),K424,L424)/100),2))</f>
      </c>
      <c r="N424" s="7" t="str">
        <f>IF(NOT(AND(J424="",L424="")),IF(OR(AND(L424&lt;&gt;"",NOT(ISNUMBER(L424))),IFERROR(MOD(L424,1),1)&gt;0,AND(ISNUMBER(L424),OR(L424&lt;0,L424&gt;95))),"Введите целое число от 0 до 95",IF(OR(AND(J424&lt;&gt;"",NOT(ISNUMBER(J424))),IFERROR(MOD(J424,1),1)&gt;0,AND(ISNUMBER(J424),OR(J424&lt;50,J424&gt;20000000))),"Введите целое число от 50 до 20000000",IF(NOT(ABS(IFERROR(VALUE(LEFT(M424,FIND("-",M424)-1)),M424)*100-(2500+2000000000)/2)&lt;=ABS(2500-2000000000)/2),"Цена со скидкой должна быть от 25 до 20000000",IF(IFERROR(VALUE(LEFT(M424,FIND("-",M424)-1)),M424)*200&lt;44999,"Вы уменьшили цену в несколько раз, товар попадет в карантин цен",IF(AND(IFERROR(VALUE(I424),0)=0,ISNUMBER(J424),OR(J424&lt;402,ABS(IFERROR(VALUE(LEFT(M424,FIND("-",M424)-1)),M424))*100&lt;40200)),"Проверьте цену товара. Большинство товаров в выбранной категории стоят дороже 402",""))))),"")</f>
      </c>
    </row>
    <row r="425">
      <c r="A425" s="2" t="inlineStr">
        <is>
          <t/>
        </is>
      </c>
      <c r="B425" s="2" t="inlineStr">
        <is>
          <t>Головные уборы рабочие</t>
        </is>
      </c>
      <c r="C425" s="2">
        <v>436522731</v>
      </c>
      <c r="D425" s="2" t="inlineStr">
        <is>
          <t>111005</t>
        </is>
      </c>
      <c r="E425" s="2" t="inlineStr">
        <is>
          <t>2044304313938</t>
        </is>
      </c>
      <c r="F425" s="2" t="inlineStr">
        <is>
          <t/>
        </is>
      </c>
      <c r="G425" s="2" t="inlineStr">
        <is>
          <t/>
        </is>
      </c>
      <c r="H425" s="2" t="inlineStr">
        <is>
          <t/>
        </is>
      </c>
      <c r="I425" s="2" t="inlineStr">
        <is>
          <t>1000</t>
        </is>
      </c>
      <c r="J425" s="4"/>
      <c r="K425" s="2">
        <v>55</v>
      </c>
      <c r="L425" s="6"/>
      <c r="M425" s="2" t="str">
        <f>IF(J425="",ROUND(I425*(1-IF(ISBLANK(L425),K425,L425)/100),2),ROUND(J425*(1-IF(ISBLANK(L425),K425,L425)/100),2))</f>
      </c>
      <c r="N425" s="7" t="str">
        <f>IF(NOT(AND(J425="",L425="")),IF(OR(AND(L425&lt;&gt;"",NOT(ISNUMBER(L425))),IFERROR(MOD(L425,1),1)&gt;0,AND(ISNUMBER(L425),OR(L425&lt;0,L425&gt;95))),"Введите целое число от 0 до 95",IF(OR(AND(J425&lt;&gt;"",NOT(ISNUMBER(J425))),IFERROR(MOD(J425,1),1)&gt;0,AND(ISNUMBER(J425),OR(J425&lt;50,J425&gt;20000000))),"Введите целое число от 50 до 20000000",IF(NOT(ABS(IFERROR(VALUE(LEFT(M425,FIND("-",M425)-1)),M425)*100-(2500+2000000000)/2)&lt;=ABS(2500-2000000000)/2),"Цена со скидкой должна быть от 25 до 20000000",IF(IFERROR(VALUE(LEFT(M425,FIND("-",M425)-1)),M425)*200&lt;44999,"Вы уменьшили цену в несколько раз, товар попадет в карантин цен",IF(AND(IFERROR(VALUE(I425),0)=0,ISNUMBER(J425),OR(J425&lt;402,ABS(IFERROR(VALUE(LEFT(M425,FIND("-",M425)-1)),M425))*100&lt;40200)),"Проверьте цену товара. Большинство товаров в выбранной категории стоят дороже 402",""))))),"")</f>
      </c>
    </row>
    <row r="426">
      <c r="A426" s="2" t="inlineStr">
        <is>
          <t/>
        </is>
      </c>
      <c r="B426" s="2" t="inlineStr">
        <is>
          <t>Головные уборы рабочие</t>
        </is>
      </c>
      <c r="C426" s="2">
        <v>436522730</v>
      </c>
      <c r="D426" s="2" t="inlineStr">
        <is>
          <t>111004</t>
        </is>
      </c>
      <c r="E426" s="2" t="inlineStr">
        <is>
          <t>2044304310968</t>
        </is>
      </c>
      <c r="F426" s="2" t="inlineStr">
        <is>
          <t/>
        </is>
      </c>
      <c r="G426" s="2" t="inlineStr">
        <is>
          <t/>
        </is>
      </c>
      <c r="H426" s="2" t="inlineStr">
        <is>
          <t/>
        </is>
      </c>
      <c r="I426" s="2" t="inlineStr">
        <is>
          <t>1000</t>
        </is>
      </c>
      <c r="J426" s="4"/>
      <c r="K426" s="2">
        <v>55</v>
      </c>
      <c r="L426" s="6"/>
      <c r="M426" s="2" t="str">
        <f>IF(J426="",ROUND(I426*(1-IF(ISBLANK(L426),K426,L426)/100),2),ROUND(J426*(1-IF(ISBLANK(L426),K426,L426)/100),2))</f>
      </c>
      <c r="N426" s="7" t="str">
        <f>IF(NOT(AND(J426="",L426="")),IF(OR(AND(L426&lt;&gt;"",NOT(ISNUMBER(L426))),IFERROR(MOD(L426,1),1)&gt;0,AND(ISNUMBER(L426),OR(L426&lt;0,L426&gt;95))),"Введите целое число от 0 до 95",IF(OR(AND(J426&lt;&gt;"",NOT(ISNUMBER(J426))),IFERROR(MOD(J426,1),1)&gt;0,AND(ISNUMBER(J426),OR(J426&lt;50,J426&gt;20000000))),"Введите целое число от 50 до 20000000",IF(NOT(ABS(IFERROR(VALUE(LEFT(M426,FIND("-",M426)-1)),M426)*100-(2500+2000000000)/2)&lt;=ABS(2500-2000000000)/2),"Цена со скидкой должна быть от 25 до 20000000",IF(IFERROR(VALUE(LEFT(M426,FIND("-",M426)-1)),M426)*200&lt;44999,"Вы уменьшили цену в несколько раз, товар попадет в карантин цен",IF(AND(IFERROR(VALUE(I426),0)=0,ISNUMBER(J426),OR(J426&lt;402,ABS(IFERROR(VALUE(LEFT(M426,FIND("-",M426)-1)),M426))*100&lt;40200)),"Проверьте цену товара. Большинство товаров в выбранной категории стоят дороже 402",""))))),"")</f>
      </c>
    </row>
    <row r="427">
      <c r="A427" s="2" t="inlineStr">
        <is>
          <t/>
        </is>
      </c>
      <c r="B427" s="2" t="inlineStr">
        <is>
          <t>Головные уборы рабочие</t>
        </is>
      </c>
      <c r="C427" s="2">
        <v>436522729</v>
      </c>
      <c r="D427" s="2" t="inlineStr">
        <is>
          <t>111003</t>
        </is>
      </c>
      <c r="E427" s="2" t="inlineStr">
        <is>
          <t>2044304307753</t>
        </is>
      </c>
      <c r="F427" s="2" t="inlineStr">
        <is>
          <t/>
        </is>
      </c>
      <c r="G427" s="2" t="inlineStr">
        <is>
          <t/>
        </is>
      </c>
      <c r="H427" s="2" t="inlineStr">
        <is>
          <t/>
        </is>
      </c>
      <c r="I427" s="2" t="inlineStr">
        <is>
          <t>1000</t>
        </is>
      </c>
      <c r="J427" s="4"/>
      <c r="K427" s="2">
        <v>55</v>
      </c>
      <c r="L427" s="6"/>
      <c r="M427" s="2" t="str">
        <f>IF(J427="",ROUND(I427*(1-IF(ISBLANK(L427),K427,L427)/100),2),ROUND(J427*(1-IF(ISBLANK(L427),K427,L427)/100),2))</f>
      </c>
      <c r="N427" s="7" t="str">
        <f>IF(NOT(AND(J427="",L427="")),IF(OR(AND(L427&lt;&gt;"",NOT(ISNUMBER(L427))),IFERROR(MOD(L427,1),1)&gt;0,AND(ISNUMBER(L427),OR(L427&lt;0,L427&gt;95))),"Введите целое число от 0 до 95",IF(OR(AND(J427&lt;&gt;"",NOT(ISNUMBER(J427))),IFERROR(MOD(J427,1),1)&gt;0,AND(ISNUMBER(J427),OR(J427&lt;50,J427&gt;20000000))),"Введите целое число от 50 до 20000000",IF(NOT(ABS(IFERROR(VALUE(LEFT(M427,FIND("-",M427)-1)),M427)*100-(2500+2000000000)/2)&lt;=ABS(2500-2000000000)/2),"Цена со скидкой должна быть от 25 до 20000000",IF(IFERROR(VALUE(LEFT(M427,FIND("-",M427)-1)),M427)*200&lt;44999,"Вы уменьшили цену в несколько раз, товар попадет в карантин цен",IF(AND(IFERROR(VALUE(I427),0)=0,ISNUMBER(J427),OR(J427&lt;402,ABS(IFERROR(VALUE(LEFT(M427,FIND("-",M427)-1)),M427))*100&lt;40200)),"Проверьте цену товара. Большинство товаров в выбранной категории стоят дороже 402",""))))),"")</f>
      </c>
    </row>
    <row r="428">
      <c r="A428" s="2" t="inlineStr">
        <is>
          <t/>
        </is>
      </c>
      <c r="B428" s="2" t="inlineStr">
        <is>
          <t>Юбки рабочие</t>
        </is>
      </c>
      <c r="C428" s="2">
        <v>440363627</v>
      </c>
      <c r="D428" s="2" t="inlineStr">
        <is>
          <t>111027</t>
        </is>
      </c>
      <c r="E428" s="2" t="inlineStr">
        <is>
          <t>2044398756253</t>
        </is>
      </c>
      <c r="F428" s="2">
        <v>0</v>
      </c>
      <c r="G428" s="2">
        <v>0</v>
      </c>
      <c r="H428" s="2">
        <v>1</v>
      </c>
      <c r="I428" s="2" t="inlineStr">
        <is>
          <t>4000</t>
        </is>
      </c>
      <c r="J428" s="4"/>
      <c r="K428" s="2">
        <v>55</v>
      </c>
      <c r="L428" s="6"/>
      <c r="M428" s="2" t="str">
        <f>IF(J428="",ROUND(I428*(1-IF(ISBLANK(L428),K428,L428)/100),2),ROUND(J428*(1-IF(ISBLANK(L428),K428,L428)/100),2))</f>
      </c>
      <c r="N428" s="7" t="str">
        <f>IF(NOT(AND(J428="",L428="")),IF(OR(AND(L428&lt;&gt;"",NOT(ISNUMBER(L428))),IFERROR(MOD(L428,1),1)&gt;0,AND(ISNUMBER(L428),OR(L428&lt;0,L428&gt;95))),"Введите целое число от 0 до 95",IF(OR(AND(J428&lt;&gt;"",NOT(ISNUMBER(J428))),IFERROR(MOD(J428,1),1)&gt;0,AND(ISNUMBER(J428),OR(J428&lt;50,J428&gt;20000000))),"Введите целое число от 50 до 20000000",IF(NOT(ABS(IFERROR(VALUE(LEFT(M428,FIND("-",M428)-1)),M428)*100-(2500+2000000000)/2)&lt;=ABS(2500-2000000000)/2),"Цена со скидкой должна быть от 25 до 20000000",IF(IFERROR(VALUE(LEFT(M428,FIND("-",M428)-1)),M428)*200&lt;179999,"Вы уменьшили цену в несколько раз, товар попадет в карантин цен",IF(AND(IFERROR(VALUE(I428),0)=0,ISNUMBER(J428),OR(J428&lt;1148,ABS(IFERROR(VALUE(LEFT(M428,FIND("-",M428)-1)),M428))*100&lt;114800)),"Проверьте цену товара. Большинство товаров в выбранной категории стоят дороже 1148",""))))),"")</f>
      </c>
    </row>
    <row r="429">
      <c r="A429" s="2" t="inlineStr">
        <is>
          <t/>
        </is>
      </c>
      <c r="B429" s="2" t="inlineStr">
        <is>
          <t>Фартуки рабочие</t>
        </is>
      </c>
      <c r="C429" s="2">
        <v>436578563</v>
      </c>
      <c r="D429" s="2" t="inlineStr">
        <is>
          <t>111018</t>
        </is>
      </c>
      <c r="E429" s="2" t="inlineStr">
        <is>
          <t>2044305000028</t>
        </is>
      </c>
      <c r="F429" s="2">
        <v>10</v>
      </c>
      <c r="G429" s="2">
        <v>0</v>
      </c>
      <c r="H429" s="2">
        <v>60</v>
      </c>
      <c r="I429" s="2" t="inlineStr">
        <is>
          <t>1500</t>
        </is>
      </c>
      <c r="J429" s="4"/>
      <c r="K429" s="2">
        <v>70</v>
      </c>
      <c r="L429" s="6"/>
      <c r="M429" s="2" t="str">
        <f>IF(J429="",ROUND(I429*(1-IF(ISBLANK(L429),K429,L429)/100),2),ROUND(J429*(1-IF(ISBLANK(L429),K429,L429)/100),2))</f>
      </c>
      <c r="N429" s="7" t="str">
        <f>IF(NOT(AND(J429="",L429="")),IF(OR(AND(L429&lt;&gt;"",NOT(ISNUMBER(L429))),IFERROR(MOD(L429,1),1)&gt;0,AND(ISNUMBER(L429),OR(L429&lt;0,L429&gt;95))),"Введите целое число от 0 до 95",IF(OR(AND(J429&lt;&gt;"",NOT(ISNUMBER(J429))),IFERROR(MOD(J429,1),1)&gt;0,AND(ISNUMBER(J429),OR(J429&lt;50,J429&gt;20000000))),"Введите целое число от 50 до 20000000",IF(NOT(ABS(IFERROR(VALUE(LEFT(M429,FIND("-",M429)-1)),M429)*100-(2500+2000000000)/2)&lt;=ABS(2500-2000000000)/2),"Цена со скидкой должна быть от 25 до 20000000",IF(IFERROR(VALUE(LEFT(M429,FIND("-",M429)-1)),M429)*200&lt;45000,"Вы уменьшили цену в несколько раз, товар попадет в карантин цен",IF(AND(IFERROR(VALUE(I429),0)=0,ISNUMBER(J429),OR(J429&lt;349,ABS(IFERROR(VALUE(LEFT(M429,FIND("-",M429)-1)),M429))*100&lt;34900)),"Проверьте цену товара. Большинство товаров в выбранной категории стоят дороже 349",""))))),"")</f>
      </c>
    </row>
    <row r="430">
      <c r="A430" s="2" t="inlineStr">
        <is>
          <t/>
        </is>
      </c>
      <c r="B430" s="2" t="inlineStr">
        <is>
          <t>Юбки рабочие</t>
        </is>
      </c>
      <c r="C430" s="2">
        <v>440363626</v>
      </c>
      <c r="D430" s="2" t="inlineStr">
        <is>
          <t>111026</t>
        </is>
      </c>
      <c r="E430" s="2" t="inlineStr">
        <is>
          <t>2044398754884</t>
        </is>
      </c>
      <c r="F430" s="2">
        <v>0</v>
      </c>
      <c r="G430" s="2">
        <v>0</v>
      </c>
      <c r="H430" s="2">
        <v>999</v>
      </c>
      <c r="I430" s="2" t="inlineStr">
        <is>
          <t>4000</t>
        </is>
      </c>
      <c r="J430" s="4"/>
      <c r="K430" s="2">
        <v>55</v>
      </c>
      <c r="L430" s="6"/>
      <c r="M430" s="2" t="str">
        <f>IF(J430="",ROUND(I430*(1-IF(ISBLANK(L430),K430,L430)/100),2),ROUND(J430*(1-IF(ISBLANK(L430),K430,L430)/100),2))</f>
      </c>
      <c r="N430" s="7" t="str">
        <f>IF(NOT(AND(J430="",L430="")),IF(OR(AND(L430&lt;&gt;"",NOT(ISNUMBER(L430))),IFERROR(MOD(L430,1),1)&gt;0,AND(ISNUMBER(L430),OR(L430&lt;0,L430&gt;95))),"Введите целое число от 0 до 95",IF(OR(AND(J430&lt;&gt;"",NOT(ISNUMBER(J430))),IFERROR(MOD(J430,1),1)&gt;0,AND(ISNUMBER(J430),OR(J430&lt;50,J430&gt;20000000))),"Введите целое число от 50 до 20000000",IF(NOT(ABS(IFERROR(VALUE(LEFT(M430,FIND("-",M430)-1)),M430)*100-(2500+2000000000)/2)&lt;=ABS(2500-2000000000)/2),"Цена со скидкой должна быть от 25 до 20000000",IF(IFERROR(VALUE(LEFT(M430,FIND("-",M430)-1)),M430)*200&lt;179999,"Вы уменьшили цену в несколько раз, товар попадет в карантин цен",IF(AND(IFERROR(VALUE(I430),0)=0,ISNUMBER(J430),OR(J430&lt;1148,ABS(IFERROR(VALUE(LEFT(M430,FIND("-",M430)-1)),M430))*100&lt;114800)),"Проверьте цену товара. Большинство товаров в выбранной категории стоят дороже 1148",""))))),"")</f>
      </c>
    </row>
    <row r="431">
      <c r="A431" s="2" t="inlineStr">
        <is>
          <t/>
        </is>
      </c>
      <c r="B431" s="2" t="inlineStr">
        <is>
          <t>Головные уборы рабочие</t>
        </is>
      </c>
      <c r="C431" s="2">
        <v>436522728</v>
      </c>
      <c r="D431" s="2" t="inlineStr">
        <is>
          <t>111002</t>
        </is>
      </c>
      <c r="E431" s="2" t="inlineStr">
        <is>
          <t>2044304272655</t>
        </is>
      </c>
      <c r="F431" s="2" t="inlineStr">
        <is>
          <t/>
        </is>
      </c>
      <c r="G431" s="2" t="inlineStr">
        <is>
          <t/>
        </is>
      </c>
      <c r="H431" s="2" t="inlineStr">
        <is>
          <t/>
        </is>
      </c>
      <c r="I431" s="2" t="inlineStr">
        <is>
          <t>1000</t>
        </is>
      </c>
      <c r="J431" s="4"/>
      <c r="K431" s="2">
        <v>55</v>
      </c>
      <c r="L431" s="6"/>
      <c r="M431" s="2" t="str">
        <f>IF(J431="",ROUND(I431*(1-IF(ISBLANK(L431),K431,L431)/100),2),ROUND(J431*(1-IF(ISBLANK(L431),K431,L431)/100),2))</f>
      </c>
      <c r="N431" s="7" t="str">
        <f>IF(NOT(AND(J431="",L431="")),IF(OR(AND(L431&lt;&gt;"",NOT(ISNUMBER(L431))),IFERROR(MOD(L431,1),1)&gt;0,AND(ISNUMBER(L431),OR(L431&lt;0,L431&gt;95))),"Введите целое число от 0 до 95",IF(OR(AND(J431&lt;&gt;"",NOT(ISNUMBER(J431))),IFERROR(MOD(J431,1),1)&gt;0,AND(ISNUMBER(J431),OR(J431&lt;50,J431&gt;20000000))),"Введите целое число от 50 до 20000000",IF(NOT(ABS(IFERROR(VALUE(LEFT(M431,FIND("-",M431)-1)),M431)*100-(2500+2000000000)/2)&lt;=ABS(2500-2000000000)/2),"Цена со скидкой должна быть от 25 до 20000000",IF(IFERROR(VALUE(LEFT(M431,FIND("-",M431)-1)),M431)*200&lt;44999,"Вы уменьшили цену в несколько раз, товар попадет в карантин цен",IF(AND(IFERROR(VALUE(I431),0)=0,ISNUMBER(J431),OR(J431&lt;402,ABS(IFERROR(VALUE(LEFT(M431,FIND("-",M431)-1)),M431))*100&lt;40200)),"Проверьте цену товара. Большинство товаров в выбранной категории стоят дороже 402",""))))),"")</f>
      </c>
    </row>
    <row r="432">
      <c r="A432" s="2" t="inlineStr">
        <is>
          <t/>
        </is>
      </c>
      <c r="B432" s="2" t="inlineStr">
        <is>
          <t>Юбки рабочие</t>
        </is>
      </c>
      <c r="C432" s="2">
        <v>440355416</v>
      </c>
      <c r="D432" s="2" t="inlineStr">
        <is>
          <t>111025</t>
        </is>
      </c>
      <c r="E432" s="2" t="inlineStr">
        <is>
          <t>2044398683115</t>
        </is>
      </c>
      <c r="F432" s="2">
        <v>0</v>
      </c>
      <c r="G432" s="2">
        <v>0</v>
      </c>
      <c r="H432" s="2">
        <v>999</v>
      </c>
      <c r="I432" s="2" t="inlineStr">
        <is>
          <t>4000</t>
        </is>
      </c>
      <c r="J432" s="4"/>
      <c r="K432" s="2">
        <v>55</v>
      </c>
      <c r="L432" s="6"/>
      <c r="M432" s="2" t="str">
        <f>IF(J432="",ROUND(I432*(1-IF(ISBLANK(L432),K432,L432)/100),2),ROUND(J432*(1-IF(ISBLANK(L432),K432,L432)/100),2))</f>
      </c>
      <c r="N432" s="7" t="str">
        <f>IF(NOT(AND(J432="",L432="")),IF(OR(AND(L432&lt;&gt;"",NOT(ISNUMBER(L432))),IFERROR(MOD(L432,1),1)&gt;0,AND(ISNUMBER(L432),OR(L432&lt;0,L432&gt;95))),"Введите целое число от 0 до 95",IF(OR(AND(J432&lt;&gt;"",NOT(ISNUMBER(J432))),IFERROR(MOD(J432,1),1)&gt;0,AND(ISNUMBER(J432),OR(J432&lt;50,J432&gt;20000000))),"Введите целое число от 50 до 20000000",IF(NOT(ABS(IFERROR(VALUE(LEFT(M432,FIND("-",M432)-1)),M432)*100-(2500+2000000000)/2)&lt;=ABS(2500-2000000000)/2),"Цена со скидкой должна быть от 25 до 20000000",IF(IFERROR(VALUE(LEFT(M432,FIND("-",M432)-1)),M432)*200&lt;179999,"Вы уменьшили цену в несколько раз, товар попадет в карантин цен",IF(AND(IFERROR(VALUE(I432),0)=0,ISNUMBER(J432),OR(J432&lt;1148,ABS(IFERROR(VALUE(LEFT(M432,FIND("-",M432)-1)),M432))*100&lt;114800)),"Проверьте цену товара. Большинство товаров в выбранной категории стоят дороже 1148",""))))),"")</f>
      </c>
    </row>
    <row r="433">
      <c r="A433" s="2" t="inlineStr">
        <is>
          <t/>
        </is>
      </c>
      <c r="B433" s="2" t="inlineStr">
        <is>
          <t>Головные уборы рабочие</t>
        </is>
      </c>
      <c r="C433" s="2">
        <v>436546999</v>
      </c>
      <c r="D433" s="2" t="inlineStr">
        <is>
          <t>111012</t>
        </is>
      </c>
      <c r="E433" s="2" t="inlineStr">
        <is>
          <t>2044304542475</t>
        </is>
      </c>
      <c r="F433" s="2" t="inlineStr">
        <is>
          <t/>
        </is>
      </c>
      <c r="G433" s="2" t="inlineStr">
        <is>
          <t/>
        </is>
      </c>
      <c r="H433" s="2" t="inlineStr">
        <is>
          <t/>
        </is>
      </c>
      <c r="I433" s="2" t="inlineStr">
        <is>
          <t>1000</t>
        </is>
      </c>
      <c r="J433" s="4"/>
      <c r="K433" s="2">
        <v>55</v>
      </c>
      <c r="L433" s="6"/>
      <c r="M433" s="2" t="str">
        <f>IF(J433="",ROUND(I433*(1-IF(ISBLANK(L433),K433,L433)/100),2),ROUND(J433*(1-IF(ISBLANK(L433),K433,L433)/100),2))</f>
      </c>
      <c r="N433" s="7" t="str">
        <f>IF(NOT(AND(J433="",L433="")),IF(OR(AND(L433&lt;&gt;"",NOT(ISNUMBER(L433))),IFERROR(MOD(L433,1),1)&gt;0,AND(ISNUMBER(L433),OR(L433&lt;0,L433&gt;95))),"Введите целое число от 0 до 95",IF(OR(AND(J433&lt;&gt;"",NOT(ISNUMBER(J433))),IFERROR(MOD(J433,1),1)&gt;0,AND(ISNUMBER(J433),OR(J433&lt;50,J433&gt;20000000))),"Введите целое число от 50 до 20000000",IF(NOT(ABS(IFERROR(VALUE(LEFT(M433,FIND("-",M433)-1)),M433)*100-(2500+2000000000)/2)&lt;=ABS(2500-2000000000)/2),"Цена со скидкой должна быть от 25 до 20000000",IF(IFERROR(VALUE(LEFT(M433,FIND("-",M433)-1)),M433)*200&lt;44999,"Вы уменьшили цену в несколько раз, товар попадет в карантин цен",IF(AND(IFERROR(VALUE(I433),0)=0,ISNUMBER(J433),OR(J433&lt;402,ABS(IFERROR(VALUE(LEFT(M433,FIND("-",M433)-1)),M433))*100&lt;40200)),"Проверьте цену товара. Большинство товаров в выбранной категории стоят дороже 402",""))))),"")</f>
      </c>
    </row>
  </sheetData>
  <conditionalFormatting sqref="J2:J433">
    <cfRule type="containsBlanks" priority="1" stopIfTrue="true">
      <formula>LEN(TRIM(J2))=0</formula>
    </cfRule>
    <cfRule type="cellIs" dxfId="1" priority="2" operator="notBetween">
      <formula>50</formula>
      <formula>20000000</formula>
    </cfRule>
  </conditionalFormatting>
  <conditionalFormatting sqref="L2:L433">
    <cfRule type="containsBlanks" priority="3" stopIfTrue="true">
      <formula>LEN(TRIM(L2))=0</formula>
    </cfRule>
    <cfRule type="cellIs" dxfId="1" priority="4" operator="notBetween">
      <formula>0</formula>
      <formula>95</formula>
    </cfRule>
  </conditionalFormatting>
  <conditionalFormatting sqref="N2:N433">
    <cfRule type="cellIs" dxfId="2" priority="5" operator="equal">
      <formula>"Вы уменьшили цену в несколько раз, товар попадет в карантин цен"</formula>
    </cfRule>
    <cfRule type="beginsWith" dxfId="2" priority="6" operator="beginsWith" text="Проверьте цену товара. Большинство товаров в выбранной категории стоят дороже ">
      <formula>LEFT(N2,LEN("Проверьте цену товара. Большинство товаров в выбранной категории стоят дороже "))="Проверьте цену товара. Большинство товаров в выбранной категории стоят дороже "</formula>
    </cfRule>
    <cfRule type="cellIs" dxfId="1" priority="7" operator="notEqual">
      <formula>""</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language>ru</dc:language>
  <dcterms:created xsi:type="dcterms:W3CDTF">2006-09-16T00:00:00Z</dcterms:created>
  <dcterms:modified xsi:type="dcterms:W3CDTF">2006-09-16T00:00:00Z</dcterms:modified>
</coreProperties>
</file>